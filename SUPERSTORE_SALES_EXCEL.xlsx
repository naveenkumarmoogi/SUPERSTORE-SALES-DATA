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ATA" sheetId="1" r:id="rId5"/>
    <sheet state="visible" name="SALES PERFORMANCE DASHBOARD" sheetId="2" r:id="rId6"/>
    <sheet state="visible" name="Order Management Tracker" sheetId="3" r:id="rId7"/>
    <sheet state="visible" name=" Monthly Sales Report with 4 ch" sheetId="4" r:id="rId8"/>
    <sheet state="visible" name="DASHBOARD" sheetId="5" r:id="rId9"/>
    <sheet state="visible" name="HR Analytics" sheetId="6" r:id="rId10"/>
    <sheet state="visible" name="data" sheetId="7" r:id="rId11"/>
    <sheet state="visible" name="summary" sheetId="8" r:id="rId12"/>
    <sheet state="visible" name="lookup value" sheetId="9" r:id="rId13"/>
    <sheet state="visible" name="CHARTS" sheetId="10" r:id="rId14"/>
    <sheet state="visible" name="DASHBOARD1" sheetId="11" r:id="rId15"/>
  </sheets>
  <definedNames>
    <definedName name="Orders">#REF!</definedName>
    <definedName name="Returns">#REF!</definedName>
    <definedName name="People">#REF!</definedName>
    <definedName hidden="1" localSheetId="1" name="Z_7AD59AF9_EE1F_4256_B04D_717C410042DE_.wvu.FilterData">'SALES PERFORMANCE DASHBOARD'!$B$66:$C$78</definedName>
    <definedName hidden="1" localSheetId="1" name="Z_7AD59AF9_EE1F_4256_B04D_717C410042DE_.wvu.FilterData">'SALES PERFORMANCE DASHBOARD'!$B$15:$C$20</definedName>
    <definedName hidden="1" localSheetId="1" name="Z_7AD59AF9_EE1F_4256_B04D_717C410042DE_.wvu.FilterData">'SALES PERFORMANCE DASHBOARD'!$B$35:$C$41</definedName>
    <definedName hidden="1" localSheetId="9" name="Z_7AD59AF9_EE1F_4256_B04D_717C410042DE_.wvu.FilterData">CHARTS!$B$27:$C$29</definedName>
    <definedName hidden="1" localSheetId="9" name="Z_7AD59AF9_EE1F_4256_B04D_717C410042DE_.wvu.FilterData">CHARTS!$B$5:$C$9</definedName>
    <definedName hidden="1" localSheetId="9" name="Z_7AD59AF9_EE1F_4256_B04D_717C410042DE_.wvu.FilterData">CHARTS!$B$27:$C$29</definedName>
    <definedName hidden="1" localSheetId="9" name="Z_7AD59AF9_EE1F_4256_B04D_717C410042DE_.wvu.FilterData">CHARTS!$B$5:$C$9</definedName>
    <definedName name="SlicerCache_Table_2_Col_1">#N/A</definedName>
    <definedName name="SlicerCache_Table_3_Col_1">#N/A</definedName>
    <definedName name="SlicerCache_Table_4_Col_1">#N/A</definedName>
    <definedName name="SlicerCache_Table_9_Col_1">#N/A</definedName>
    <definedName name="SlicerCache_Table_10_Col_1">#N/A</definedName>
  </definedNames>
  <calcPr/>
  <customWorkbookViews>
    <customWorkbookView activeSheetId="0" maximized="1" windowHeight="0" windowWidth="0" guid="{7AD59AF9-EE1F-4256-B04D-717C410042DE}" name="Filter 1"/>
  </customWorkbookViews>
  <pivotCaches>
    <pivotCache cacheId="0" r:id="rId16"/>
    <pivotCache cacheId="1" r:id="rId17"/>
    <pivotCache cacheId="2" r:id="rId18"/>
    <pivotCache cacheId="3" r:id="rId19"/>
    <pivotCache cacheId="4" r:id="rId20"/>
  </pivotCaches>
  <extLst>
    <ext uri="{46BE6895-7355-4a93-B00E-2C351335B9C9}">
      <x15:slicerCaches>
        <x14:slicerCache r:id="rId21"/>
        <x14:slicerCache r:id="rId22"/>
        <x14:slicerCache r:id="rId23"/>
        <x14:slicerCache r:id="rId24"/>
        <x14:slicerCache r:id="rId25"/>
      </x15:slicerCaches>
    </ext>
  </extLst>
</workbook>
</file>

<file path=xl/sharedStrings.xml><?xml version="1.0" encoding="utf-8"?>
<sst xmlns="http://schemas.openxmlformats.org/spreadsheetml/2006/main" count="913" uniqueCount="367">
  <si>
    <t>Date</t>
  </si>
  <si>
    <t>Salesperson</t>
  </si>
  <si>
    <t>Region</t>
  </si>
  <si>
    <t>Product</t>
  </si>
  <si>
    <t>Sales Amount ()</t>
  </si>
  <si>
    <t>Aarav Sharma</t>
  </si>
  <si>
    <t>North</t>
  </si>
  <si>
    <t>Laptop</t>
  </si>
  <si>
    <t>Priya Patel</t>
  </si>
  <si>
    <t>South</t>
  </si>
  <si>
    <t>Mobile</t>
  </si>
  <si>
    <t>Vikram Singh</t>
  </si>
  <si>
    <t>East</t>
  </si>
  <si>
    <t>Tablet</t>
  </si>
  <si>
    <t>Ananya Reddy</t>
  </si>
  <si>
    <t>West</t>
  </si>
  <si>
    <t>Rohit Kumar</t>
  </si>
  <si>
    <t>Sneha Iyer</t>
  </si>
  <si>
    <t>Headphones</t>
  </si>
  <si>
    <t>SALES PERFORMANCE DASHBOARD</t>
  </si>
  <si>
    <t>SALES BY REGION</t>
  </si>
  <si>
    <t>SUM of Sales Amount ()</t>
  </si>
  <si>
    <t>SALES BY SALESPERSON</t>
  </si>
  <si>
    <t>MONTHLY SALES TREND</t>
  </si>
  <si>
    <t>Date - Month</t>
  </si>
  <si>
    <t>Jan</t>
  </si>
  <si>
    <t>Feb</t>
  </si>
  <si>
    <t>Mar</t>
  </si>
  <si>
    <t>Apr</t>
  </si>
  <si>
    <t>May</t>
  </si>
  <si>
    <t>Jun</t>
  </si>
  <si>
    <t>Jul</t>
  </si>
  <si>
    <t>Aug</t>
  </si>
  <si>
    <t>Sep</t>
  </si>
  <si>
    <t>Oct</t>
  </si>
  <si>
    <t>Nov</t>
  </si>
  <si>
    <t>Dec</t>
  </si>
  <si>
    <t>Order Management Tracker</t>
  </si>
  <si>
    <t>ORDERID</t>
  </si>
  <si>
    <t>CUSTOMER</t>
  </si>
  <si>
    <t>PRODUCT</t>
  </si>
  <si>
    <t>QUANTITY</t>
  </si>
  <si>
    <t>PRICE</t>
  </si>
  <si>
    <t>TOTAL</t>
  </si>
  <si>
    <t>STATUS</t>
  </si>
  <si>
    <t>DELIVERY DATE</t>
  </si>
  <si>
    <t>Status</t>
  </si>
  <si>
    <t>Count</t>
  </si>
  <si>
    <t>ORD001</t>
  </si>
  <si>
    <t>Ravi</t>
  </si>
  <si>
    <t>Pending</t>
  </si>
  <si>
    <t>25-05-2026</t>
  </si>
  <si>
    <t>ORD002</t>
  </si>
  <si>
    <t>Sneha</t>
  </si>
  <si>
    <t>Phone</t>
  </si>
  <si>
    <t>Delivered</t>
  </si>
  <si>
    <t>28-05-2026</t>
  </si>
  <si>
    <t>Shipped</t>
  </si>
  <si>
    <t>ORD003</t>
  </si>
  <si>
    <t>Arjun</t>
  </si>
  <si>
    <t>30-05-2026</t>
  </si>
  <si>
    <t>ORD004</t>
  </si>
  <si>
    <t>Priya</t>
  </si>
  <si>
    <t>Monitor</t>
  </si>
  <si>
    <t>Cancelled</t>
  </si>
  <si>
    <t>ORD005</t>
  </si>
  <si>
    <t>Kiran</t>
  </si>
  <si>
    <t>Keyboard</t>
  </si>
  <si>
    <t>ORD006</t>
  </si>
  <si>
    <t>Neha</t>
  </si>
  <si>
    <t>Mouse</t>
  </si>
  <si>
    <t>ORD007</t>
  </si>
  <si>
    <t>Ajay</t>
  </si>
  <si>
    <t>Printer</t>
  </si>
  <si>
    <t>ORD008</t>
  </si>
  <si>
    <t>Meena</t>
  </si>
  <si>
    <t>ORD009</t>
  </si>
  <si>
    <t>Rohit</t>
  </si>
  <si>
    <t>ORD010</t>
  </si>
  <si>
    <t>Kavya</t>
  </si>
  <si>
    <t>ORD011</t>
  </si>
  <si>
    <t>Varun</t>
  </si>
  <si>
    <t>ORD012</t>
  </si>
  <si>
    <t>Divya</t>
  </si>
  <si>
    <t>13-06-2026</t>
  </si>
  <si>
    <t>ORD013</t>
  </si>
  <si>
    <t>Suresh</t>
  </si>
  <si>
    <t>14-06-2026</t>
  </si>
  <si>
    <t>ORD014</t>
  </si>
  <si>
    <t>Anjali</t>
  </si>
  <si>
    <t>15-06-2026</t>
  </si>
  <si>
    <t>ORD015</t>
  </si>
  <si>
    <t>Tarun</t>
  </si>
  <si>
    <t>16-06-2026</t>
  </si>
  <si>
    <t>ORD016</t>
  </si>
  <si>
    <t>Pooja</t>
  </si>
  <si>
    <t>18-06-2026</t>
  </si>
  <si>
    <t>ORD017</t>
  </si>
  <si>
    <t>Manish</t>
  </si>
  <si>
    <t>19-06-2026</t>
  </si>
  <si>
    <t>ORD018</t>
  </si>
  <si>
    <t>Rekha</t>
  </si>
  <si>
    <t>20-06-2026</t>
  </si>
  <si>
    <t>ORD019</t>
  </si>
  <si>
    <t>Deepak</t>
  </si>
  <si>
    <t>21-06-2026</t>
  </si>
  <si>
    <t>ORD020</t>
  </si>
  <si>
    <t>Nisha</t>
  </si>
  <si>
    <t>22-06-2026</t>
  </si>
  <si>
    <t>ORD021</t>
  </si>
  <si>
    <t>Harish</t>
  </si>
  <si>
    <t>23-06-2026</t>
  </si>
  <si>
    <t>ORD022</t>
  </si>
  <si>
    <t>Swathi</t>
  </si>
  <si>
    <t>24-06-2026</t>
  </si>
  <si>
    <t>ORD023</t>
  </si>
  <si>
    <t>Akash</t>
  </si>
  <si>
    <t>25-06-2026</t>
  </si>
  <si>
    <t>ORD024</t>
  </si>
  <si>
    <t>Bhavana</t>
  </si>
  <si>
    <t>26-06-2026</t>
  </si>
  <si>
    <t>ORD025</t>
  </si>
  <si>
    <t>Naveen</t>
  </si>
  <si>
    <t>27-06-2026</t>
  </si>
  <si>
    <t>MONTHLY SALES REPORT</t>
  </si>
  <si>
    <t xml:space="preserve">MONTH </t>
  </si>
  <si>
    <t>SALES</t>
  </si>
  <si>
    <t>EXPENSES</t>
  </si>
  <si>
    <t>PROFIT</t>
  </si>
  <si>
    <t>PROFIT(%)</t>
  </si>
  <si>
    <t>JANUARY</t>
  </si>
  <si>
    <t>FEBRUARY</t>
  </si>
  <si>
    <t>MARCH</t>
  </si>
  <si>
    <t>APRIL</t>
  </si>
  <si>
    <t>MAY</t>
  </si>
  <si>
    <t>JUNE</t>
  </si>
  <si>
    <t>JULY</t>
  </si>
  <si>
    <t>AUGUST</t>
  </si>
  <si>
    <t>SEPTEMBER</t>
  </si>
  <si>
    <t>OCTOBER</t>
  </si>
  <si>
    <t>NOVEMBER</t>
  </si>
  <si>
    <t>DECEMBER</t>
  </si>
  <si>
    <t xml:space="preserve"> </t>
  </si>
  <si>
    <t>Total Sales</t>
  </si>
  <si>
    <t>Total Expenses</t>
  </si>
  <si>
    <t>Total Profit</t>
  </si>
  <si>
    <t>Avg Margin %</t>
  </si>
  <si>
    <t>₹725,000.00</t>
  </si>
  <si>
    <t>₹660,000.00</t>
  </si>
  <si>
    <t>Sales vs Expenses by Month</t>
  </si>
  <si>
    <t>Monthly Profit Trend</t>
  </si>
  <si>
    <t>Sales and Profit Margin Analysis</t>
  </si>
  <si>
    <t>Metric</t>
  </si>
  <si>
    <t>Trend</t>
  </si>
  <si>
    <t>Sales</t>
  </si>
  <si>
    <t>Expenses</t>
  </si>
  <si>
    <t>Profit</t>
  </si>
  <si>
    <t>profit%</t>
  </si>
  <si>
    <t>HR ANALYTICS</t>
  </si>
  <si>
    <t>Employee ID</t>
  </si>
  <si>
    <t>Name</t>
  </si>
  <si>
    <t>Department</t>
  </si>
  <si>
    <t>Salary</t>
  </si>
  <si>
    <t>Performance</t>
  </si>
  <si>
    <t>EMP001</t>
  </si>
  <si>
    <t>Aarav</t>
  </si>
  <si>
    <t>HR</t>
  </si>
  <si>
    <t>Active</t>
  </si>
  <si>
    <t>EMP002</t>
  </si>
  <si>
    <t>Finance</t>
  </si>
  <si>
    <t>Lookup Panel</t>
  </si>
  <si>
    <t>EMP003</t>
  </si>
  <si>
    <t>Rohan</t>
  </si>
  <si>
    <t>IT</t>
  </si>
  <si>
    <t>Field</t>
  </si>
  <si>
    <t>Value</t>
  </si>
  <si>
    <t>EMP004</t>
  </si>
  <si>
    <t>Marketing</t>
  </si>
  <si>
    <t>Resigned</t>
  </si>
  <si>
    <t>Enter Employee Name</t>
  </si>
  <si>
    <t>EMP005</t>
  </si>
  <si>
    <t>Karan</t>
  </si>
  <si>
    <t>EMP006</t>
  </si>
  <si>
    <t>Summary Stats Table</t>
  </si>
  <si>
    <t>Vikram</t>
  </si>
  <si>
    <t>EMP008</t>
  </si>
  <si>
    <t>EMP009</t>
  </si>
  <si>
    <t>EMP010</t>
  </si>
  <si>
    <t>EMP011</t>
  </si>
  <si>
    <t>Rahul</t>
  </si>
  <si>
    <t>EMP012</t>
  </si>
  <si>
    <t>EMP013</t>
  </si>
  <si>
    <t>EMP014</t>
  </si>
  <si>
    <t>EMP015</t>
  </si>
  <si>
    <t>Active Employees</t>
  </si>
  <si>
    <t>High Performers</t>
  </si>
  <si>
    <t>Total Salary Cost</t>
  </si>
  <si>
    <t>EMP016</t>
  </si>
  <si>
    <t>EMP017</t>
  </si>
  <si>
    <t>EMP018</t>
  </si>
  <si>
    <t>EMP019</t>
  </si>
  <si>
    <t>EMP020</t>
  </si>
  <si>
    <t>EMP021</t>
  </si>
  <si>
    <t>Ritika</t>
  </si>
  <si>
    <t>EMP022</t>
  </si>
  <si>
    <t>EMP023</t>
  </si>
  <si>
    <t>EMP024</t>
  </si>
  <si>
    <t>Average Salary Per Region</t>
  </si>
  <si>
    <t>EMP025</t>
  </si>
  <si>
    <t>Avg Salary</t>
  </si>
  <si>
    <t>EMP026</t>
  </si>
  <si>
    <t>EMP027</t>
  </si>
  <si>
    <t>EMP028</t>
  </si>
  <si>
    <t>EMP029</t>
  </si>
  <si>
    <t>EMP030</t>
  </si>
  <si>
    <t>Priyanka</t>
  </si>
  <si>
    <t>Order ID</t>
  </si>
  <si>
    <t>Order Date</t>
  </si>
  <si>
    <t>Customer Name</t>
  </si>
  <si>
    <t>Category</t>
  </si>
  <si>
    <t>Quantity</t>
  </si>
  <si>
    <t>Unit Price</t>
  </si>
  <si>
    <t>ORIGINAL PRICE</t>
  </si>
  <si>
    <t>SALES PRICE</t>
  </si>
  <si>
    <t>discount</t>
  </si>
  <si>
    <t>COST</t>
  </si>
  <si>
    <t>MARGIN</t>
  </si>
  <si>
    <t>ORD-001</t>
  </si>
  <si>
    <t>Alice Smith</t>
  </si>
  <si>
    <t>Electronics</t>
  </si>
  <si>
    <t>ORD-002</t>
  </si>
  <si>
    <t>Bob Johnson</t>
  </si>
  <si>
    <t>Furniture</t>
  </si>
  <si>
    <t>Chair</t>
  </si>
  <si>
    <t>ORD-003</t>
  </si>
  <si>
    <t>Charlie Brown</t>
  </si>
  <si>
    <t>Office Supplies</t>
  </si>
  <si>
    <t>Paper</t>
  </si>
  <si>
    <t>Processing</t>
  </si>
  <si>
    <t>ORD-004</t>
  </si>
  <si>
    <t>Diana Prince</t>
  </si>
  <si>
    <t>ORD-005</t>
  </si>
  <si>
    <t>Evan Davis</t>
  </si>
  <si>
    <t>Desk</t>
  </si>
  <si>
    <t>ORD-006</t>
  </si>
  <si>
    <t>Fiona Clark</t>
  </si>
  <si>
    <t>Pen</t>
  </si>
  <si>
    <t>ORD-007</t>
  </si>
  <si>
    <t>George White</t>
  </si>
  <si>
    <t>ORD-008</t>
  </si>
  <si>
    <t>Hannah Lewis</t>
  </si>
  <si>
    <t>Table</t>
  </si>
  <si>
    <t>ORD-009</t>
  </si>
  <si>
    <t>Ian Walker</t>
  </si>
  <si>
    <t>Binder</t>
  </si>
  <si>
    <t>ORD-010</t>
  </si>
  <si>
    <t>Julia Hall</t>
  </si>
  <si>
    <t>ORD-011</t>
  </si>
  <si>
    <t>Kevin Young</t>
  </si>
  <si>
    <t>Sofa</t>
  </si>
  <si>
    <t>ORD-012</t>
  </si>
  <si>
    <t>Laura King</t>
  </si>
  <si>
    <t>Stapler</t>
  </si>
  <si>
    <t>ORD-013</t>
  </si>
  <si>
    <t>Mike Wright</t>
  </si>
  <si>
    <t>ORD-014</t>
  </si>
  <si>
    <t>Nina Scott</t>
  </si>
  <si>
    <t>ORD-015</t>
  </si>
  <si>
    <t>Oscar Green</t>
  </si>
  <si>
    <t>ORD-016</t>
  </si>
  <si>
    <t>Paul Adams</t>
  </si>
  <si>
    <t>ORD-017</t>
  </si>
  <si>
    <t>Quinn Baker</t>
  </si>
  <si>
    <t>ORD-018</t>
  </si>
  <si>
    <t>Rachel Nelson</t>
  </si>
  <si>
    <t>ORD-019</t>
  </si>
  <si>
    <t>Sam Carter</t>
  </si>
  <si>
    <t>ORD-020</t>
  </si>
  <si>
    <t>Tina Mitchell</t>
  </si>
  <si>
    <t>ORD-021</t>
  </si>
  <si>
    <t>Uma Perez</t>
  </si>
  <si>
    <t>ORD-022</t>
  </si>
  <si>
    <t>Victor Roberts</t>
  </si>
  <si>
    <t>ORD-023</t>
  </si>
  <si>
    <t>Wendy Turner</t>
  </si>
  <si>
    <t>ORD-024</t>
  </si>
  <si>
    <t>Xavier Phillips</t>
  </si>
  <si>
    <t>ORD-025</t>
  </si>
  <si>
    <t>Yara Campbell</t>
  </si>
  <si>
    <t>ORD-026</t>
  </si>
  <si>
    <t>Zack Parker</t>
  </si>
  <si>
    <t>ORD-027</t>
  </si>
  <si>
    <t>Alice Evans</t>
  </si>
  <si>
    <t>ORD-028</t>
  </si>
  <si>
    <t>Bob Edwards</t>
  </si>
  <si>
    <t>ORD-029</t>
  </si>
  <si>
    <t>Charlie Collins</t>
  </si>
  <si>
    <t>ORD-030</t>
  </si>
  <si>
    <t>Diana Stewart</t>
  </si>
  <si>
    <t>ORD-031</t>
  </si>
  <si>
    <t>Evan Sanchez</t>
  </si>
  <si>
    <t>ORD-032</t>
  </si>
  <si>
    <t>Fiona Morris</t>
  </si>
  <si>
    <t>ORD-033</t>
  </si>
  <si>
    <t>George Rogers</t>
  </si>
  <si>
    <t>ORD-034</t>
  </si>
  <si>
    <t>Hannah Reed</t>
  </si>
  <si>
    <t>ORD-035</t>
  </si>
  <si>
    <t>Ian Cook</t>
  </si>
  <si>
    <t>ORD-036</t>
  </si>
  <si>
    <t>Julia Morgan</t>
  </si>
  <si>
    <t>ORD-037</t>
  </si>
  <si>
    <t>Kevin Bell</t>
  </si>
  <si>
    <t>ORD-038</t>
  </si>
  <si>
    <t>Laura Murphy</t>
  </si>
  <si>
    <t>ORD-039</t>
  </si>
  <si>
    <t>Mike Bailey</t>
  </si>
  <si>
    <t>ORD-040</t>
  </si>
  <si>
    <t>Nina Rivera</t>
  </si>
  <si>
    <t>ORD-041</t>
  </si>
  <si>
    <t>Oscar Cooper</t>
  </si>
  <si>
    <t>ORD-042</t>
  </si>
  <si>
    <t>Paul Richardson</t>
  </si>
  <si>
    <t>ORD-043</t>
  </si>
  <si>
    <t>Quinn Cox</t>
  </si>
  <si>
    <t>ORD-044</t>
  </si>
  <si>
    <t>Rachel Howard</t>
  </si>
  <si>
    <t>ORD-045</t>
  </si>
  <si>
    <t>Sam Ward</t>
  </si>
  <si>
    <t>ORD-046</t>
  </si>
  <si>
    <t>Tina Torres</t>
  </si>
  <si>
    <t>ORD-047</t>
  </si>
  <si>
    <t>Uma Peterson</t>
  </si>
  <si>
    <t>ORD-048</t>
  </si>
  <si>
    <t>Victor Gray</t>
  </si>
  <si>
    <t>ORD-049</t>
  </si>
  <si>
    <t>Wendy Ramirez</t>
  </si>
  <si>
    <t>ORD-050</t>
  </si>
  <si>
    <t>Xavier James</t>
  </si>
  <si>
    <t>total sales</t>
  </si>
  <si>
    <t>TOP PERFORMING REGION</t>
  </si>
  <si>
    <t>total profits</t>
  </si>
  <si>
    <t>total orders</t>
  </si>
  <si>
    <t>avg discount</t>
  </si>
  <si>
    <t>sales by region</t>
  </si>
  <si>
    <t>SUM of ORIGINAL PRICE</t>
  </si>
  <si>
    <t>profit by category</t>
  </si>
  <si>
    <t>SUM of PROFIT</t>
  </si>
  <si>
    <t>order count by status</t>
  </si>
  <si>
    <t>Orders</t>
  </si>
  <si>
    <t>shipped</t>
  </si>
  <si>
    <t>processing</t>
  </si>
  <si>
    <t>LOOKUP TABLE</t>
  </si>
  <si>
    <t>order id</t>
  </si>
  <si>
    <t>customer name</t>
  </si>
  <si>
    <t>region</t>
  </si>
  <si>
    <t>category</t>
  </si>
  <si>
    <t xml:space="preserve">sales </t>
  </si>
  <si>
    <t>profit</t>
  </si>
  <si>
    <t>status</t>
  </si>
  <si>
    <t>SUM of SALES PRICE</t>
  </si>
  <si>
    <t>Order Date - Month</t>
  </si>
  <si>
    <t>SUPERSTORE SALES DASHBOARD</t>
  </si>
  <si>
    <t>TOTAL SALES</t>
  </si>
  <si>
    <t>TOTAL PROFIT</t>
  </si>
  <si>
    <t>TOTAL ORDERS</t>
  </si>
  <si>
    <t>TOP REGION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</si>
</sst>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mm-yy"/>
    <numFmt numFmtId="165" formatCode="d-mmmm-yy"/>
    <numFmt numFmtId="166" formatCode="m/d/yyyy h:mm:ss"/>
    <numFmt numFmtId="167" formatCode="[$₹]#,##0.00"/>
    <numFmt numFmtId="168" formatCode="mm-dd-yyyy"/>
    <numFmt numFmtId="169" formatCode="yyyy-mm-dd"/>
  </numFmts>
  <fonts count="10">
    <font>
      <sz val="10.0"/>
      <color rgb="FF000000"/>
      <name val="Open Sans"/>
      <scheme val="minor"/>
    </font>
    <font>
      <color theme="1"/>
      <name val="Open Sans"/>
      <scheme val="minor"/>
    </font>
    <font>
      <b/>
      <sz val="48.0"/>
      <color theme="1"/>
      <name val="Open Sans"/>
      <scheme val="minor"/>
    </font>
    <font/>
    <font>
      <b/>
      <sz val="30.0"/>
      <color theme="1"/>
      <name val="Arial"/>
    </font>
    <font>
      <b/>
      <sz val="30.0"/>
      <color theme="1"/>
      <name val="Open Sans"/>
      <scheme val="minor"/>
    </font>
    <font>
      <b/>
      <color theme="1"/>
      <name val="Open Sans"/>
      <scheme val="minor"/>
    </font>
    <font>
      <sz val="30.0"/>
      <color theme="1"/>
      <name val="Open Sans"/>
      <scheme val="minor"/>
    </font>
    <font>
      <sz val="11.0"/>
      <color rgb="FF000000"/>
      <name val="&quot;Aptos Narrow&quot;"/>
    </font>
    <font>
      <sz val="20.0"/>
      <color theme="1"/>
      <name val="Open Sans"/>
      <scheme val="minor"/>
    </font>
  </fonts>
  <fills count="23">
    <fill>
      <patternFill patternType="none"/>
    </fill>
    <fill>
      <patternFill patternType="lightGray"/>
    </fill>
    <fill>
      <patternFill patternType="solid">
        <fgColor rgb="FF4A86E8"/>
        <bgColor rgb="FF4A86E8"/>
      </patternFill>
    </fill>
    <fill>
      <patternFill patternType="solid">
        <fgColor rgb="FFF46524"/>
        <bgColor rgb="FFF46524"/>
      </patternFill>
    </fill>
    <fill>
      <patternFill patternType="solid">
        <fgColor rgb="FFFFFFFF"/>
        <bgColor rgb="FFFFFFFF"/>
      </patternFill>
    </fill>
    <fill>
      <patternFill patternType="solid">
        <fgColor rgb="FFFFE6DD"/>
        <bgColor rgb="FFFFE6DD"/>
      </patternFill>
    </fill>
    <fill>
      <patternFill patternType="solid">
        <fgColor rgb="FF5B95F9"/>
        <bgColor rgb="FF5B95F9"/>
      </patternFill>
    </fill>
    <fill>
      <patternFill patternType="solid">
        <fgColor rgb="FFFFD966"/>
        <bgColor rgb="FFFFD966"/>
      </patternFill>
    </fill>
    <fill>
      <patternFill patternType="solid">
        <fgColor rgb="FF93C47D"/>
        <bgColor rgb="FF93C47D"/>
      </patternFill>
    </fill>
    <fill>
      <patternFill patternType="solid">
        <fgColor rgb="FFF6B26B"/>
        <bgColor rgb="FFF6B26B"/>
      </patternFill>
    </fill>
    <fill>
      <patternFill patternType="solid">
        <fgColor rgb="FFB6D7A8"/>
        <bgColor rgb="FFB6D7A8"/>
      </patternFill>
    </fill>
    <fill>
      <patternFill patternType="solid">
        <fgColor rgb="FFE69138"/>
        <bgColor rgb="FFE69138"/>
      </patternFill>
    </fill>
    <fill>
      <patternFill patternType="solid">
        <fgColor rgb="FF26A69A"/>
        <bgColor rgb="FF26A69A"/>
      </patternFill>
    </fill>
    <fill>
      <patternFill patternType="solid">
        <fgColor rgb="FFDDF2F0"/>
        <bgColor rgb="FFDDF2F0"/>
      </patternFill>
    </fill>
    <fill>
      <patternFill patternType="solid">
        <fgColor rgb="FFCCA677"/>
        <bgColor rgb="FFCCA677"/>
      </patternFill>
    </fill>
    <fill>
      <patternFill patternType="solid">
        <fgColor rgb="FFF8F2EB"/>
        <bgColor rgb="FFF8F2EB"/>
      </patternFill>
    </fill>
    <fill>
      <patternFill patternType="solid">
        <fgColor rgb="FFD9D9D9"/>
        <bgColor rgb="FFD9D9D9"/>
      </patternFill>
    </fill>
    <fill>
      <patternFill patternType="solid">
        <fgColor rgb="FFBDBDBD"/>
        <bgColor rgb="FFBDBDBD"/>
      </patternFill>
    </fill>
    <fill>
      <patternFill patternType="solid">
        <fgColor rgb="FFF3F3F3"/>
        <bgColor rgb="FFF3F3F3"/>
      </patternFill>
    </fill>
    <fill>
      <patternFill patternType="solid">
        <fgColor rgb="FF8BC34A"/>
        <bgColor rgb="FF8BC34A"/>
      </patternFill>
    </fill>
    <fill>
      <patternFill patternType="solid">
        <fgColor rgb="FF78909C"/>
        <bgColor rgb="FF78909C"/>
      </patternFill>
    </fill>
    <fill>
      <patternFill patternType="solid">
        <fgColor rgb="FFEBEFF1"/>
        <bgColor rgb="FFEBEFF1"/>
      </patternFill>
    </fill>
    <fill>
      <patternFill patternType="solid">
        <fgColor rgb="FFFF9900"/>
        <bgColor rgb="FFFF9900"/>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 xfId="0" applyAlignment="1" applyFont="1" applyNumberFormat="1">
      <alignment horizontal="left" readingOrder="0"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4" xfId="0" applyAlignment="1" applyFont="1" applyNumberFormat="1">
      <alignment shrinkToFit="0" vertical="center" wrapText="0"/>
    </xf>
    <xf borderId="0" fillId="0" fontId="1" numFmtId="165" xfId="0" applyAlignment="1" applyFont="1" applyNumberFormat="1">
      <alignment shrinkToFit="0" vertical="center" wrapText="0"/>
    </xf>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0" fontId="1" numFmtId="0" xfId="0" applyBorder="1" applyFont="1"/>
    <xf borderId="5" fillId="0" fontId="1" numFmtId="0" xfId="0" applyBorder="1" applyFont="1"/>
    <xf borderId="0" fillId="0" fontId="4" numFmtId="0" xfId="0" applyAlignment="1" applyFont="1">
      <alignment horizontal="center" readingOrder="0" shrinkToFit="0" vertical="bottom" wrapText="0"/>
    </xf>
    <xf borderId="6" fillId="0" fontId="1" numFmtId="0" xfId="0" applyBorder="1" applyFont="1"/>
    <xf borderId="6" fillId="0" fontId="1" numFmtId="4" xfId="0" applyBorder="1" applyFont="1" applyNumberFormat="1"/>
    <xf borderId="0" fillId="0" fontId="5" numFmtId="0" xfId="0" applyAlignment="1" applyFont="1">
      <alignment horizontal="center" readingOrder="0"/>
    </xf>
    <xf borderId="6" fillId="0" fontId="1" numFmtId="166" xfId="0" applyBorder="1" applyFont="1" applyNumberFormat="1"/>
    <xf borderId="0" fillId="0" fontId="1" numFmtId="0" xfId="0" applyAlignment="1" applyFont="1">
      <alignment horizontal="right"/>
    </xf>
    <xf borderId="7" fillId="0" fontId="1" numFmtId="0" xfId="0" applyBorder="1" applyFont="1"/>
    <xf borderId="8" fillId="0" fontId="1" numFmtId="0" xfId="0" applyBorder="1" applyFont="1"/>
    <xf borderId="9" fillId="0" fontId="1" numFmtId="0" xfId="0" applyBorder="1" applyFont="1"/>
    <xf borderId="0" fillId="3" fontId="5" numFmtId="0" xfId="0" applyAlignment="1" applyFill="1" applyFont="1">
      <alignment horizontal="center" readingOrder="0"/>
    </xf>
    <xf borderId="0" fillId="4" fontId="6" numFmtId="0" xfId="0" applyAlignment="1" applyFill="1" applyFont="1">
      <alignment readingOrder="0"/>
    </xf>
    <xf borderId="6" fillId="0" fontId="6" numFmtId="0" xfId="0" applyAlignment="1" applyBorder="1" applyFont="1">
      <alignment horizontal="center" readingOrder="0"/>
    </xf>
    <xf borderId="0" fillId="5" fontId="1" numFmtId="0" xfId="0" applyAlignment="1" applyFill="1" applyFont="1">
      <alignment readingOrder="0"/>
    </xf>
    <xf borderId="0" fillId="5" fontId="1" numFmtId="167" xfId="0" applyFont="1" applyNumberFormat="1"/>
    <xf borderId="6" fillId="0" fontId="1" numFmtId="0" xfId="0" applyAlignment="1" applyBorder="1" applyFont="1">
      <alignment readingOrder="0"/>
    </xf>
    <xf borderId="0" fillId="4" fontId="1" numFmtId="0" xfId="0" applyAlignment="1" applyFont="1">
      <alignment readingOrder="0"/>
    </xf>
    <xf borderId="0" fillId="4" fontId="1" numFmtId="167" xfId="0" applyFont="1" applyNumberFormat="1"/>
    <xf borderId="0" fillId="4" fontId="1" numFmtId="168" xfId="0" applyAlignment="1" applyFont="1" applyNumberFormat="1">
      <alignment readingOrder="0"/>
    </xf>
    <xf borderId="0" fillId="5" fontId="1" numFmtId="168" xfId="0" applyAlignment="1" applyFont="1" applyNumberFormat="1">
      <alignment readingOrder="0"/>
    </xf>
    <xf borderId="10" fillId="6" fontId="6" numFmtId="0" xfId="0" applyAlignment="1" applyBorder="1" applyFill="1" applyFont="1">
      <alignment horizontal="center" readingOrder="0"/>
    </xf>
    <xf borderId="11" fillId="6" fontId="3" numFmtId="0" xfId="0" applyBorder="1" applyFont="1"/>
    <xf borderId="12" fillId="6" fontId="3" numFmtId="0" xfId="0" applyBorder="1" applyFont="1"/>
    <xf borderId="6" fillId="7" fontId="6" numFmtId="0" xfId="0" applyAlignment="1" applyBorder="1" applyFill="1" applyFont="1">
      <alignment readingOrder="0"/>
    </xf>
    <xf borderId="0" fillId="0" fontId="6" numFmtId="0" xfId="0" applyAlignment="1" applyFont="1">
      <alignment horizontal="center" readingOrder="0"/>
    </xf>
    <xf borderId="6" fillId="8" fontId="1" numFmtId="0" xfId="0" applyAlignment="1" applyBorder="1" applyFill="1" applyFont="1">
      <alignment readingOrder="0"/>
    </xf>
    <xf borderId="6" fillId="8" fontId="1" numFmtId="167" xfId="0" applyAlignment="1" applyBorder="1" applyFont="1" applyNumberFormat="1">
      <alignment readingOrder="0"/>
    </xf>
    <xf borderId="6" fillId="8" fontId="1" numFmtId="167" xfId="0" applyBorder="1" applyFont="1" applyNumberFormat="1"/>
    <xf borderId="6" fillId="8" fontId="1" numFmtId="10" xfId="0" applyBorder="1" applyFont="1" applyNumberFormat="1"/>
    <xf borderId="6" fillId="7" fontId="1" numFmtId="0" xfId="0" applyAlignment="1" applyBorder="1" applyFont="1">
      <alignment readingOrder="0"/>
    </xf>
    <xf borderId="6" fillId="7" fontId="1" numFmtId="167" xfId="0" applyAlignment="1" applyBorder="1" applyFont="1" applyNumberFormat="1">
      <alignment readingOrder="0"/>
    </xf>
    <xf borderId="6" fillId="7" fontId="1" numFmtId="167" xfId="0" applyBorder="1" applyFont="1" applyNumberFormat="1"/>
    <xf borderId="6" fillId="7" fontId="1" numFmtId="10" xfId="0" applyBorder="1" applyFont="1" applyNumberFormat="1"/>
    <xf borderId="0" fillId="0" fontId="1" numFmtId="0" xfId="0" applyAlignment="1" applyFont="1">
      <alignment readingOrder="0"/>
    </xf>
    <xf borderId="6" fillId="0" fontId="5" numFmtId="0" xfId="0" applyAlignment="1" applyBorder="1" applyFont="1">
      <alignment readingOrder="0"/>
    </xf>
    <xf borderId="6" fillId="0" fontId="7" numFmtId="167" xfId="0" applyBorder="1" applyFont="1" applyNumberFormat="1"/>
    <xf borderId="6" fillId="0" fontId="7" numFmtId="0" xfId="0" applyAlignment="1" applyBorder="1" applyFont="1">
      <alignment readingOrder="0"/>
    </xf>
    <xf borderId="6" fillId="0" fontId="7" numFmtId="10" xfId="0" applyAlignment="1" applyBorder="1" applyFont="1" applyNumberFormat="1">
      <alignment readingOrder="0"/>
    </xf>
    <xf borderId="0" fillId="0" fontId="5" numFmtId="0" xfId="0" applyAlignment="1" applyFont="1">
      <alignment readingOrder="0"/>
    </xf>
    <xf borderId="6" fillId="0" fontId="5" numFmtId="0" xfId="0" applyAlignment="1" applyBorder="1" applyFont="1">
      <alignment horizontal="center" readingOrder="0"/>
    </xf>
    <xf borderId="6" fillId="0" fontId="7" numFmtId="0" xfId="0" applyAlignment="1" applyBorder="1" applyFont="1">
      <alignment readingOrder="0"/>
    </xf>
    <xf borderId="6" fillId="0" fontId="7" numFmtId="0" xfId="0" applyBorder="1" applyFont="1"/>
    <xf borderId="0" fillId="9" fontId="6" numFmtId="0" xfId="0" applyAlignment="1" applyFill="1" applyFont="1">
      <alignment horizontal="center" readingOrder="0"/>
    </xf>
    <xf borderId="0" fillId="10" fontId="6" numFmtId="0" xfId="0" applyAlignment="1" applyFill="1" applyFont="1">
      <alignment readingOrder="0"/>
    </xf>
    <xf borderId="0" fillId="11" fontId="8" numFmtId="0" xfId="0" applyAlignment="1" applyFill="1" applyFont="1">
      <alignment readingOrder="0" shrinkToFit="0" vertical="bottom" wrapText="0"/>
    </xf>
    <xf borderId="0" fillId="11" fontId="8" numFmtId="167" xfId="0" applyAlignment="1" applyFont="1" applyNumberFormat="1">
      <alignment readingOrder="0" shrinkToFit="0" vertical="bottom" wrapText="0"/>
    </xf>
    <xf borderId="0" fillId="10" fontId="8" numFmtId="0" xfId="0" applyAlignment="1" applyFont="1">
      <alignment readingOrder="0" shrinkToFit="0" vertical="bottom" wrapText="0"/>
    </xf>
    <xf borderId="0" fillId="10" fontId="8" numFmtId="167" xfId="0" applyAlignment="1" applyFont="1" applyNumberFormat="1">
      <alignment readingOrder="0" shrinkToFit="0" vertical="bottom" wrapText="0"/>
    </xf>
    <xf borderId="0" fillId="12" fontId="6" numFmtId="0" xfId="0" applyAlignment="1" applyFill="1" applyFont="1">
      <alignment horizontal="center" readingOrder="0"/>
    </xf>
    <xf borderId="0" fillId="4" fontId="6" numFmtId="0" xfId="0" applyAlignment="1" applyFont="1">
      <alignment horizontal="center" readingOrder="0"/>
    </xf>
    <xf borderId="0" fillId="13" fontId="1" numFmtId="0" xfId="0" applyAlignment="1" applyFill="1" applyFont="1">
      <alignment readingOrder="0"/>
    </xf>
    <xf borderId="0" fillId="4" fontId="1" numFmtId="0" xfId="0" applyFont="1"/>
    <xf borderId="0" fillId="13" fontId="1" numFmtId="0" xfId="0" applyFont="1"/>
    <xf borderId="0" fillId="11" fontId="1" numFmtId="0" xfId="0" applyAlignment="1" applyFont="1">
      <alignment readingOrder="0"/>
    </xf>
    <xf borderId="0" fillId="14" fontId="6" numFmtId="0" xfId="0" applyAlignment="1" applyFill="1" applyFont="1">
      <alignment horizontal="center" readingOrder="0"/>
    </xf>
    <xf borderId="0" fillId="4" fontId="6" numFmtId="0" xfId="0" applyAlignment="1" applyFont="1">
      <alignment horizontal="right" readingOrder="0"/>
    </xf>
    <xf borderId="0" fillId="15" fontId="1" numFmtId="0" xfId="0" applyAlignment="1" applyFill="1" applyFont="1">
      <alignment readingOrder="0"/>
    </xf>
    <xf borderId="0" fillId="15" fontId="1" numFmtId="0" xfId="0" applyFont="1"/>
    <xf borderId="0" fillId="16" fontId="6" numFmtId="0" xfId="0" applyAlignment="1" applyFill="1" applyFont="1">
      <alignment horizontal="center" readingOrder="0"/>
    </xf>
    <xf borderId="0" fillId="0" fontId="6" numFmtId="0" xfId="0" applyAlignment="1" applyFont="1">
      <alignment horizontal="center" readingOrder="0"/>
    </xf>
    <xf borderId="0" fillId="0" fontId="6" numFmtId="0" xfId="0" applyAlignment="1" applyFont="1">
      <alignment horizontal="right" readingOrder="0"/>
    </xf>
    <xf borderId="0" fillId="0" fontId="1" numFmtId="0" xfId="0" applyAlignment="1" applyFont="1">
      <alignment readingOrder="0"/>
    </xf>
    <xf borderId="0" fillId="0" fontId="1" numFmtId="0" xfId="0" applyAlignment="1" applyFont="1">
      <alignment horizontal="right"/>
    </xf>
    <xf borderId="0" fillId="0" fontId="1" numFmtId="2" xfId="0" applyAlignment="1" applyFont="1" applyNumberFormat="1">
      <alignment horizontal="right"/>
    </xf>
    <xf borderId="0" fillId="0" fontId="1" numFmtId="167"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10"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9" xfId="0" applyAlignment="1" applyFont="1" applyNumberFormat="1">
      <alignment readingOrder="0" shrinkToFit="0" vertical="center" wrapText="0"/>
    </xf>
    <xf borderId="0" fillId="0" fontId="1" numFmtId="167" xfId="0" applyAlignment="1" applyFont="1" applyNumberFormat="1">
      <alignment readingOrder="0" shrinkToFit="0" vertical="center" wrapText="0"/>
    </xf>
    <xf borderId="0" fillId="0" fontId="1" numFmtId="4" xfId="0" applyAlignment="1" applyFont="1" applyNumberFormat="1">
      <alignment readingOrder="0" shrinkToFit="0" vertical="center" wrapText="0"/>
    </xf>
    <xf borderId="0" fillId="0" fontId="1" numFmtId="10" xfId="0" applyAlignment="1" applyFont="1" applyNumberFormat="1">
      <alignment readingOrder="0" shrinkToFit="0" vertical="center" wrapText="0"/>
    </xf>
    <xf borderId="0" fillId="0" fontId="1" numFmtId="10" xfId="0" applyAlignment="1" applyFont="1" applyNumberFormat="1">
      <alignment shrinkToFit="0" vertical="center" wrapText="0"/>
    </xf>
    <xf borderId="0" fillId="0" fontId="1" numFmtId="167" xfId="0" applyFont="1" applyNumberFormat="1"/>
    <xf borderId="0" fillId="0" fontId="1" numFmtId="10" xfId="0" applyFont="1" applyNumberFormat="1"/>
    <xf borderId="0" fillId="0" fontId="1" numFmtId="167" xfId="0" applyFont="1" applyNumberFormat="1"/>
    <xf borderId="0" fillId="0" fontId="1" numFmtId="4" xfId="0" applyFont="1" applyNumberFormat="1"/>
    <xf borderId="0" fillId="0" fontId="1" numFmtId="0" xfId="0" applyFont="1"/>
    <xf borderId="0" fillId="0" fontId="1" numFmtId="0" xfId="0" applyFont="1"/>
    <xf borderId="0" fillId="0" fontId="1" numFmtId="10" xfId="0" applyFont="1" applyNumberFormat="1"/>
    <xf borderId="0" fillId="17" fontId="1" numFmtId="0" xfId="0" applyAlignment="1" applyFill="1" applyFont="1">
      <alignment horizontal="center" readingOrder="0"/>
    </xf>
    <xf borderId="0" fillId="18" fontId="1" numFmtId="0" xfId="0" applyFill="1" applyFont="1"/>
    <xf borderId="0" fillId="18" fontId="1" numFmtId="167" xfId="0" applyFont="1" applyNumberFormat="1"/>
    <xf borderId="0" fillId="19" fontId="1" numFmtId="0" xfId="0" applyAlignment="1" applyFill="1" applyFont="1">
      <alignment horizontal="center" readingOrder="0"/>
    </xf>
    <xf borderId="0" fillId="0" fontId="1" numFmtId="4" xfId="0" applyFont="1" applyNumberFormat="1"/>
    <xf borderId="0" fillId="20" fontId="6" numFmtId="0" xfId="0" applyAlignment="1" applyFill="1" applyFont="1">
      <alignment horizontal="center" readingOrder="0"/>
    </xf>
    <xf borderId="0" fillId="21" fontId="1" numFmtId="0" xfId="0" applyAlignment="1" applyFill="1" applyFont="1">
      <alignment readingOrder="0"/>
    </xf>
    <xf borderId="0" fillId="21" fontId="1" numFmtId="0" xfId="0" applyFont="1"/>
    <xf borderId="0" fillId="3" fontId="1" numFmtId="0" xfId="0" applyAlignment="1" applyFont="1">
      <alignment horizontal="center" readingOrder="0"/>
    </xf>
    <xf borderId="0" fillId="5" fontId="1" numFmtId="0" xfId="0" applyFont="1"/>
    <xf borderId="0" fillId="0" fontId="1" numFmtId="0" xfId="0" applyFont="1"/>
    <xf borderId="0" fillId="0" fontId="1" numFmtId="166" xfId="0" applyFont="1" applyNumberFormat="1"/>
    <xf borderId="1" fillId="22" fontId="5" numFmtId="0" xfId="0" applyAlignment="1" applyBorder="1" applyFill="1" applyFont="1">
      <alignment horizontal="center" readingOrder="0"/>
    </xf>
    <xf borderId="0" fillId="0" fontId="9" numFmtId="0" xfId="0" applyAlignment="1" applyFont="1">
      <alignment readingOrder="0"/>
    </xf>
    <xf borderId="0" fillId="0" fontId="9" numFmtId="167" xfId="0" applyFont="1" applyNumberFormat="1"/>
    <xf borderId="0" fillId="0" fontId="9" numFmtId="4" xfId="0" applyFont="1" applyNumberFormat="1"/>
    <xf borderId="0" fillId="0" fontId="9" numFmtId="0" xfId="0" applyFont="1"/>
    <xf borderId="0" fillId="0" fontId="9" numFmtId="0" xfId="0" applyFont="1"/>
    <xf borderId="0" fillId="3" fontId="9" numFmtId="0" xfId="0" applyAlignment="1" applyFont="1">
      <alignment horizontal="center" readingOrder="0"/>
    </xf>
    <xf borderId="0" fillId="4" fontId="9" numFmtId="0" xfId="0" applyAlignment="1" applyFont="1">
      <alignment readingOrder="0"/>
    </xf>
    <xf borderId="0" fillId="5" fontId="9" numFmtId="0" xfId="0" applyAlignment="1" applyFont="1">
      <alignment readingOrder="0"/>
    </xf>
    <xf borderId="0" fillId="5" fontId="9" numFmtId="0" xfId="0" applyFont="1"/>
    <xf borderId="0" fillId="4" fontId="9" numFmtId="0" xfId="0" applyFont="1"/>
  </cellXfs>
  <cellStyles count="1">
    <cellStyle xfId="0" name="Normal" builtinId="0"/>
  </cellStyles>
  <dxfs count="22">
    <dxf>
      <font/>
      <fill>
        <patternFill patternType="none"/>
      </fill>
      <border/>
    </dxf>
    <dxf>
      <font/>
      <fill>
        <patternFill patternType="solid">
          <fgColor rgb="FFBB463C"/>
          <bgColor rgb="FFBB463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BB463C"/>
        </left>
        <right style="thin">
          <color rgb="FFBB463C"/>
        </right>
        <top style="thin">
          <color rgb="FFBB463C"/>
        </top>
        <bottom style="thin">
          <color rgb="FFBB463C"/>
        </bottom>
      </border>
    </dxf>
    <dxf>
      <font>
        <b/>
        <color rgb="FF6AA84F"/>
      </font>
      <fill>
        <patternFill patternType="solid">
          <fgColor rgb="FFB7E1CD"/>
          <bgColor rgb="FFB7E1CD"/>
        </patternFill>
      </fill>
      <border/>
    </dxf>
    <dxf>
      <font/>
      <fill>
        <patternFill patternType="solid">
          <fgColor rgb="FFB7E1CD"/>
          <bgColor rgb="FFB7E1CD"/>
        </patternFill>
      </fill>
      <border/>
    </dxf>
    <dxf>
      <font>
        <color rgb="FF000000"/>
      </font>
      <fill>
        <patternFill patternType="solid">
          <fgColor rgb="FFFFD966"/>
          <bgColor rgb="FFFFD966"/>
        </patternFill>
      </fill>
      <border/>
    </dxf>
    <dxf>
      <font/>
      <fill>
        <patternFill patternType="solid">
          <fgColor rgb="FF93C47D"/>
          <bgColor rgb="FF93C47D"/>
        </patternFill>
      </fill>
      <border/>
    </dxf>
    <dxf>
      <font/>
      <fill>
        <patternFill patternType="solid">
          <fgColor rgb="FFE06666"/>
          <bgColor rgb="FFE06666"/>
        </patternFill>
      </fill>
      <border/>
    </dxf>
    <dxf>
      <font/>
      <fill>
        <patternFill patternType="solid">
          <fgColor rgb="FF9FC5E8"/>
          <bgColor rgb="FF9FC5E8"/>
        </patternFill>
      </fill>
      <border/>
    </dxf>
    <dxf>
      <font/>
      <fill>
        <patternFill patternType="solid">
          <fgColor rgb="FF00FFFF"/>
          <bgColor rgb="FF00FFFF"/>
        </patternFill>
      </fill>
      <border/>
    </dxf>
    <dxf>
      <font/>
      <fill>
        <patternFill patternType="solid">
          <fgColor rgb="FFFFE599"/>
          <bgColor rgb="FFFFE599"/>
        </patternFill>
      </fill>
      <border/>
    </dxf>
    <dxf>
      <font/>
      <fill>
        <patternFill patternType="solid">
          <fgColor rgb="FFF1C232"/>
          <bgColor rgb="FFF1C232"/>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56854"/>
          <bgColor rgb="FF356854"/>
        </patternFill>
      </fill>
      <border/>
    </dxf>
    <dxf>
      <font/>
      <fill>
        <patternFill patternType="solid">
          <fgColor rgb="FF6AA84F"/>
          <bgColor rgb="FF6AA84F"/>
        </patternFill>
      </fill>
      <border/>
    </dxf>
    <dxf>
      <font>
        <color rgb="FF000000"/>
      </font>
      <fill>
        <patternFill patternType="solid">
          <fgColor rgb="FFFFFF00"/>
          <bgColor rgb="FFFFFF00"/>
        </patternFill>
      </fill>
      <border/>
    </dxf>
    <dxf>
      <font/>
      <fill>
        <patternFill patternType="solid">
          <fgColor rgb="FFCC4125"/>
          <bgColor rgb="FFCC4125"/>
        </patternFill>
      </fill>
      <border/>
    </dxf>
    <dxf>
      <font/>
      <fill>
        <patternFill patternType="solid">
          <fgColor rgb="FF4DD0E1"/>
          <bgColor rgb="FF4DD0E1"/>
        </patternFill>
      </fill>
      <border/>
    </dxf>
    <dxf>
      <font/>
      <fill>
        <patternFill patternType="solid">
          <fgColor rgb="FFE0F7FA"/>
          <bgColor rgb="FFE0F7FA"/>
        </patternFill>
      </fill>
      <border/>
    </dxf>
  </dxfs>
  <tableStyles count="6">
    <tableStyle count="4" pivot="0" name="SALES DATA-style">
      <tableStyleElement dxfId="1" type="headerRow"/>
      <tableStyleElement dxfId="2" type="firstRowStripe"/>
      <tableStyleElement dxfId="3" type="secondRowStripe"/>
      <tableStyleElement dxfId="4" size="0" type="wholeTable"/>
    </tableStyle>
    <tableStyle count="3" pivot="0" name="DASHBOARD-style">
      <tableStyleElement dxfId="11" type="headerRow"/>
      <tableStyleElement dxfId="12" type="firstRowStripe"/>
      <tableStyleElement dxfId="13" type="secondRowStripe"/>
    </tableStyle>
    <tableStyle count="3" pivot="0" name="HR Analytics-style">
      <tableStyleElement dxfId="14" type="headerRow"/>
      <tableStyleElement dxfId="2" type="firstRowStripe"/>
      <tableStyleElement dxfId="15" type="secondRowStripe"/>
    </tableStyle>
    <tableStyle count="4" pivot="0" name="data-style">
      <tableStyleElement dxfId="16" type="headerRow"/>
      <tableStyleElement dxfId="2" type="firstRowStripe"/>
      <tableStyleElement dxfId="3" type="secondRowStripe"/>
      <tableStyleElement dxfId="4" size="0" type="wholeTable"/>
    </tableStyle>
    <tableStyle count="3" pivot="0" name="summary-style">
      <tableStyleElement dxfId="20" type="headerRow"/>
      <tableStyleElement dxfId="2" type="firstRowStripe"/>
      <tableStyleElement dxfId="21" type="secondRowStripe"/>
    </tableStyle>
    <tableStyle count="3" pivot="0" name="DASHBOARD1-style">
      <tableStyleElement dxfId="20" type="headerRow"/>
      <tableStyleElement dxfId="2" type="firstRowStripe"/>
      <tableStyleElement dxfId="2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5.xml"/><Relationship Id="rId22" Type="http://schemas.microsoft.com/office/2007/relationships/slicerCache" Target="slicerCaches/slicerCache2.xml"/><Relationship Id="rId21" Type="http://schemas.microsoft.com/office/2007/relationships/slicerCache" Target="slicerCaches/slicerCache1.xml"/><Relationship Id="rId24" Type="http://schemas.microsoft.com/office/2007/relationships/slicerCache" Target="slicerCaches/slicerCache4.xml"/><Relationship Id="rId23" Type="http://schemas.microsoft.com/office/2007/relationships/slicerCache" Target="slicerCaches/slicerCache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microsoft.com/office/2007/relationships/slicerCache" Target="slicerCaches/slicerCache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19" Type="http://schemas.openxmlformats.org/officeDocument/2006/relationships/pivotCacheDefinition" Target="pivotCache/pivotCacheDefinition4.xml"/><Relationship Id="rId18" Type="http://schemas.openxmlformats.org/officeDocument/2006/relationships/pivotCacheDefinition" Target="pivotCache/pivotCacheDefinition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Amount () vs. Region</a:t>
            </a:r>
          </a:p>
        </c:rich>
      </c:tx>
      <c:overlay val="0"/>
    </c:title>
    <c:plotArea>
      <c:layout/>
      <c:barChart>
        <c:barDir val="col"/>
        <c:ser>
          <c:idx val="0"/>
          <c:order val="0"/>
          <c:tx>
            <c:strRef>
              <c:f>'SALES PERFORMANCE DASHBOARD'!$C$15</c:f>
            </c:strRef>
          </c:tx>
          <c:spPr>
            <a:solidFill>
              <a:schemeClr val="accent1"/>
            </a:solidFill>
            <a:ln cmpd="sng">
              <a:solidFill>
                <a:srgbClr val="000000"/>
              </a:solidFill>
            </a:ln>
          </c:spPr>
          <c:cat>
            <c:strRef>
              <c:f>'SALES PERFORMANCE DASHBOARD'!$B$16:$B$20</c:f>
            </c:strRef>
          </c:cat>
          <c:val>
            <c:numRef>
              <c:f>'SALES PERFORMANCE DASHBOARD'!$C$16:$C$20</c:f>
              <c:numCache/>
            </c:numRef>
          </c:val>
        </c:ser>
        <c:axId val="667995418"/>
        <c:axId val="668389640"/>
      </c:barChart>
      <c:catAx>
        <c:axId val="667995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668389640"/>
      </c:catAx>
      <c:valAx>
        <c:axId val="6683896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799541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Amount () vs. Salesperson</a:t>
            </a:r>
          </a:p>
        </c:rich>
      </c:tx>
      <c:overlay val="0"/>
    </c:title>
    <c:plotArea>
      <c:layout/>
      <c:barChart>
        <c:barDir val="bar"/>
        <c:ser>
          <c:idx val="0"/>
          <c:order val="0"/>
          <c:tx>
            <c:strRef>
              <c:f>'SALES PERFORMANCE DASHBOARD'!$C$35</c:f>
            </c:strRef>
          </c:tx>
          <c:spPr>
            <a:solidFill>
              <a:schemeClr val="accent1"/>
            </a:solidFill>
            <a:ln cmpd="sng">
              <a:solidFill>
                <a:srgbClr val="000000"/>
              </a:solidFill>
            </a:ln>
          </c:spPr>
          <c:cat>
            <c:strRef>
              <c:f>'SALES PERFORMANCE DASHBOARD'!$B$36:$B$42</c:f>
            </c:strRef>
          </c:cat>
          <c:val>
            <c:numRef>
              <c:f>'SALES PERFORMANCE DASHBOARD'!$C$36:$C$42</c:f>
              <c:numCache/>
            </c:numRef>
          </c:val>
        </c:ser>
        <c:axId val="262579338"/>
        <c:axId val="1990977656"/>
      </c:barChart>
      <c:catAx>
        <c:axId val="2625793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Salesperson</a:t>
                </a:r>
              </a:p>
            </c:rich>
          </c:tx>
          <c:overlay val="0"/>
        </c:title>
        <c:numFmt formatCode="General" sourceLinked="1"/>
        <c:majorTickMark val="none"/>
        <c:minorTickMark val="none"/>
        <c:spPr/>
        <c:txPr>
          <a:bodyPr/>
          <a:lstStyle/>
          <a:p>
            <a:pPr lvl="0">
              <a:defRPr b="0">
                <a:solidFill>
                  <a:srgbClr val="000000"/>
                </a:solidFill>
                <a:latin typeface="+mn-lt"/>
              </a:defRPr>
            </a:pPr>
          </a:p>
        </c:txPr>
        <c:crossAx val="1990977656"/>
      </c:catAx>
      <c:valAx>
        <c:axId val="1990977656"/>
        <c:scaling>
          <c:orientation val="minMax"/>
          <c:min val="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257933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Amount () vs. Date - Month</a:t>
            </a:r>
          </a:p>
        </c:rich>
      </c:tx>
      <c:overlay val="0"/>
    </c:title>
    <c:plotArea>
      <c:layout/>
      <c:lineChart>
        <c:varyColors val="0"/>
        <c:ser>
          <c:idx val="0"/>
          <c:order val="0"/>
          <c:tx>
            <c:strRef>
              <c:f>'SALES PERFORMANCE DASHBOARD'!$C$66</c:f>
            </c:strRef>
          </c:tx>
          <c:spPr>
            <a:ln cmpd="sng">
              <a:solidFill>
                <a:srgbClr val="4472C4"/>
              </a:solidFill>
            </a:ln>
          </c:spPr>
          <c:marker>
            <c:symbol val="none"/>
          </c:marker>
          <c:cat>
            <c:strRef>
              <c:f>'SALES PERFORMANCE DASHBOARD'!$B$67:$B$79</c:f>
            </c:strRef>
          </c:cat>
          <c:val>
            <c:numRef>
              <c:f>'SALES PERFORMANCE DASHBOARD'!$C$67:$C$79</c:f>
              <c:numCache/>
            </c:numRef>
          </c:val>
          <c:smooth val="0"/>
        </c:ser>
        <c:axId val="1845540054"/>
        <c:axId val="1480940303"/>
      </c:lineChart>
      <c:catAx>
        <c:axId val="1845540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480940303"/>
      </c:catAx>
      <c:valAx>
        <c:axId val="14809403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Amount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554005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and EXPENSES</a:t>
            </a:r>
          </a:p>
        </c:rich>
      </c:tx>
      <c:overlay val="0"/>
    </c:title>
    <c:plotArea>
      <c:layout/>
      <c:barChart>
        <c:barDir val="col"/>
        <c:ser>
          <c:idx val="0"/>
          <c:order val="0"/>
          <c:tx>
            <c:strRef>
              <c:f>' Monthly Sales Report with 4 ch'!$B$1:$B$2</c:f>
            </c:strRef>
          </c:tx>
          <c:spPr>
            <a:solidFill>
              <a:schemeClr val="accent1"/>
            </a:solidFill>
            <a:ln cmpd="sng">
              <a:solidFill>
                <a:srgbClr val="000000"/>
              </a:solidFill>
            </a:ln>
          </c:spPr>
          <c:cat>
            <c:strRef>
              <c:f>' Monthly Sales Report with 4 ch'!$A$3:$A$14</c:f>
            </c:strRef>
          </c:cat>
          <c:val>
            <c:numRef>
              <c:f>' Monthly Sales Report with 4 ch'!$B$3:$B$14</c:f>
              <c:numCache/>
            </c:numRef>
          </c:val>
        </c:ser>
        <c:ser>
          <c:idx val="1"/>
          <c:order val="1"/>
          <c:tx>
            <c:strRef>
              <c:f>' Monthly Sales Report with 4 ch'!$C$1:$C$2</c:f>
            </c:strRef>
          </c:tx>
          <c:spPr>
            <a:solidFill>
              <a:schemeClr val="accent2"/>
            </a:solidFill>
            <a:ln cmpd="sng">
              <a:solidFill>
                <a:srgbClr val="000000"/>
              </a:solidFill>
            </a:ln>
          </c:spPr>
          <c:cat>
            <c:strRef>
              <c:f>' Monthly Sales Report with 4 ch'!$A$3:$A$14</c:f>
            </c:strRef>
          </c:cat>
          <c:val>
            <c:numRef>
              <c:f>' Monthly Sales Report with 4 ch'!$C$3:$C$14</c:f>
              <c:numCache/>
            </c:numRef>
          </c:val>
        </c:ser>
        <c:axId val="1399984867"/>
        <c:axId val="2001446255"/>
      </c:barChart>
      <c:catAx>
        <c:axId val="13999848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a:t>
                </a:r>
              </a:p>
            </c:rich>
          </c:tx>
          <c:overlay val="0"/>
        </c:title>
        <c:numFmt formatCode="General" sourceLinked="1"/>
        <c:majorTickMark val="none"/>
        <c:minorTickMark val="none"/>
        <c:spPr/>
        <c:txPr>
          <a:bodyPr/>
          <a:lstStyle/>
          <a:p>
            <a:pPr lvl="0">
              <a:defRPr b="0">
                <a:solidFill>
                  <a:srgbClr val="000000"/>
                </a:solidFill>
                <a:latin typeface="+mn-lt"/>
              </a:defRPr>
            </a:pPr>
          </a:p>
        </c:txPr>
        <c:crossAx val="2001446255"/>
      </c:catAx>
      <c:valAx>
        <c:axId val="20014462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9984867"/>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MONTH </a:t>
            </a:r>
          </a:p>
        </c:rich>
      </c:tx>
      <c:overlay val="0"/>
    </c:title>
    <c:plotArea>
      <c:layout/>
      <c:lineChart>
        <c:varyColors val="0"/>
        <c:ser>
          <c:idx val="0"/>
          <c:order val="0"/>
          <c:tx>
            <c:strRef>
              <c:f>' Monthly Sales Report with 4 ch'!$D$1:$D$2</c:f>
            </c:strRef>
          </c:tx>
          <c:spPr>
            <a:ln cmpd="sng">
              <a:solidFill>
                <a:srgbClr val="4472C4"/>
              </a:solidFill>
            </a:ln>
          </c:spPr>
          <c:marker>
            <c:symbol val="circle"/>
            <c:size val="5"/>
            <c:spPr>
              <a:solidFill>
                <a:srgbClr val="4472C4"/>
              </a:solidFill>
              <a:ln cmpd="sng">
                <a:solidFill>
                  <a:srgbClr val="4472C4"/>
                </a:solidFill>
              </a:ln>
            </c:spPr>
          </c:marker>
          <c:cat>
            <c:strRef>
              <c:f>' Monthly Sales Report with 4 ch'!$A$3:$A$14</c:f>
            </c:strRef>
          </c:cat>
          <c:val>
            <c:numRef>
              <c:f>' Monthly Sales Report with 4 ch'!$D$3:$D$14</c:f>
              <c:numCache/>
            </c:numRef>
          </c:val>
          <c:smooth val="0"/>
        </c:ser>
        <c:axId val="1003388460"/>
        <c:axId val="739451748"/>
      </c:lineChart>
      <c:catAx>
        <c:axId val="10033884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a:t>
                </a:r>
              </a:p>
            </c:rich>
          </c:tx>
          <c:overlay val="0"/>
        </c:title>
        <c:numFmt formatCode="General" sourceLinked="1"/>
        <c:majorTickMark val="none"/>
        <c:minorTickMark val="none"/>
        <c:spPr/>
        <c:txPr>
          <a:bodyPr/>
          <a:lstStyle/>
          <a:p>
            <a:pPr lvl="0">
              <a:defRPr b="0">
                <a:solidFill>
                  <a:srgbClr val="000000"/>
                </a:solidFill>
                <a:latin typeface="+mn-lt"/>
              </a:defRPr>
            </a:pPr>
          </a:p>
        </c:txPr>
        <c:crossAx val="739451748"/>
      </c:catAx>
      <c:valAx>
        <c:axId val="7394517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338846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PROFIT(%) vs. SALES</a:t>
            </a:r>
          </a:p>
        </c:rich>
      </c:tx>
      <c:overlay val="0"/>
    </c:title>
    <c:plotArea>
      <c:layout/>
      <c:barChart>
        <c:barDir val="col"/>
        <c:ser>
          <c:idx val="1"/>
          <c:order val="1"/>
          <c:tx>
            <c:strRef>
              <c:f>' Monthly Sales Report with 4 ch'!$B$1:$B$2</c:f>
            </c:strRef>
          </c:tx>
          <c:spPr>
            <a:solidFill>
              <a:schemeClr val="accent2"/>
            </a:solidFill>
            <a:ln cmpd="sng">
              <a:solidFill>
                <a:srgbClr val="000000"/>
              </a:solidFill>
            </a:ln>
          </c:spPr>
          <c:cat>
            <c:strRef>
              <c:f>' Monthly Sales Report with 4 ch'!$A$3:$A$14</c:f>
            </c:strRef>
          </c:cat>
          <c:val>
            <c:numRef>
              <c:f>' Monthly Sales Report with 4 ch'!$B$3:$B$14</c:f>
              <c:numCache/>
            </c:numRef>
          </c:val>
        </c:ser>
        <c:axId val="854025930"/>
        <c:axId val="1194765994"/>
      </c:barChart>
      <c:catAx>
        <c:axId val="8540259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94765994"/>
      </c:catAx>
      <c:valAx>
        <c:axId val="11947659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4025930"/>
      </c:valAx>
      <c:lineChart>
        <c:varyColors val="0"/>
        <c:ser>
          <c:idx val="0"/>
          <c:order val="0"/>
          <c:tx>
            <c:strRef>
              <c:f>' Monthly Sales Report with 4 ch'!$E$1:$E$2</c:f>
            </c:strRef>
          </c:tx>
          <c:spPr>
            <a:ln cmpd="sng">
              <a:solidFill>
                <a:srgbClr val="4472C4"/>
              </a:solidFill>
            </a:ln>
          </c:spPr>
          <c:marker>
            <c:symbol val="none"/>
          </c:marker>
          <c:cat>
            <c:strRef>
              <c:f>' Monthly Sales Report with 4 ch'!$A$3:$A$14</c:f>
            </c:strRef>
          </c:cat>
          <c:val>
            <c:numRef>
              <c:f>' Monthly Sales Report with 4 ch'!$E$3:$E$14</c:f>
              <c:numCache/>
            </c:numRef>
          </c:val>
          <c:smooth val="0"/>
        </c:ser>
        <c:axId val="911952969"/>
        <c:axId val="1079185348"/>
      </c:lineChart>
      <c:catAx>
        <c:axId val="91195296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079185348"/>
      </c:catAx>
      <c:valAx>
        <c:axId val="107918534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1952969"/>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CHARTS!$M$5</c:f>
            </c:strRef>
          </c:tx>
          <c:dPt>
            <c:idx val="0"/>
            <c:spPr>
              <a:solidFill>
                <a:srgbClr val="4472C4"/>
              </a:solidFill>
            </c:spPr>
          </c:dPt>
          <c:dPt>
            <c:idx val="1"/>
            <c:spPr>
              <a:solidFill>
                <a:srgbClr val="ED7D31"/>
              </a:solidFill>
            </c:spPr>
          </c:dPt>
          <c:dPt>
            <c:idx val="2"/>
            <c:spPr>
              <a:solidFill>
                <a:srgbClr val="A5A5A5"/>
              </a:solidFill>
            </c:spPr>
          </c:dPt>
          <c:dLbls>
            <c:showLegendKey val="0"/>
            <c:showVal val="0"/>
            <c:showCatName val="0"/>
            <c:showSerName val="0"/>
            <c:showPercent val="0"/>
            <c:showBubbleSize val="0"/>
            <c:showLeaderLines val="1"/>
          </c:dLbls>
          <c:cat>
            <c:strRef>
              <c:f>CHARTS!$L$6:$L$8</c:f>
            </c:strRef>
          </c:cat>
          <c:val>
            <c:numRef>
              <c:f>CHARTS!$M$6:$M$8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1"/>
          <c:order val="1"/>
          <c:tx>
            <c:strRef>
              <c:f>CHARTS!$C$49</c:f>
            </c:strRef>
          </c:tx>
          <c:spPr>
            <a:solidFill>
              <a:schemeClr val="accent2"/>
            </a:solidFill>
            <a:ln cmpd="sng">
              <a:solidFill>
                <a:srgbClr val="000000"/>
              </a:solidFill>
            </a:ln>
          </c:spPr>
          <c:cat>
            <c:strRef>
              <c:f>CHARTS!$A$50:$A$53</c:f>
            </c:strRef>
          </c:cat>
          <c:val>
            <c:numRef>
              <c:f>CHARTS!$C$50:$C$53</c:f>
              <c:numCache/>
            </c:numRef>
          </c:val>
        </c:ser>
        <c:axId val="814008963"/>
        <c:axId val="285123282"/>
      </c:barChart>
      <c:catAx>
        <c:axId val="8140089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85123282"/>
      </c:catAx>
      <c:valAx>
        <c:axId val="2851232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14008963"/>
      </c:valAx>
      <c:lineChart>
        <c:varyColors val="0"/>
        <c:ser>
          <c:idx val="0"/>
          <c:order val="0"/>
          <c:tx>
            <c:strRef>
              <c:f>CHARTS!$B$49</c:f>
            </c:strRef>
          </c:tx>
          <c:spPr>
            <a:ln cmpd="sng">
              <a:solidFill>
                <a:srgbClr val="4472C4"/>
              </a:solidFill>
            </a:ln>
          </c:spPr>
          <c:marker>
            <c:symbol val="none"/>
          </c:marker>
          <c:cat>
            <c:strRef>
              <c:f>CHARTS!$A$50:$A$53</c:f>
            </c:strRef>
          </c:cat>
          <c:val>
            <c:numRef>
              <c:f>CHARTS!$B$50:$B$53</c:f>
              <c:numCache/>
            </c:numRef>
          </c:val>
          <c:smooth val="0"/>
        </c:ser>
        <c:axId val="786413573"/>
        <c:axId val="901811298"/>
      </c:lineChart>
      <c:catAx>
        <c:axId val="786413573"/>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901811298"/>
      </c:catAx>
      <c:valAx>
        <c:axId val="90181129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6413573"/>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lineChart>
        <c:varyColors val="0"/>
        <c:ser>
          <c:idx val="0"/>
          <c:order val="0"/>
          <c:tx>
            <c:strRef>
              <c:f>CHARTS!$C$27</c:f>
            </c:strRef>
          </c:tx>
          <c:spPr>
            <a:ln cmpd="sng">
              <a:solidFill>
                <a:srgbClr val="4472C4"/>
              </a:solidFill>
            </a:ln>
          </c:spPr>
          <c:marker>
            <c:symbol val="none"/>
          </c:marker>
          <c:cat>
            <c:strRef>
              <c:f>CHARTS!$B$28:$B$29</c:f>
            </c:strRef>
          </c:cat>
          <c:val>
            <c:numRef>
              <c:f>CHARTS!$C$28:$C$29</c:f>
              <c:numCache/>
            </c:numRef>
          </c:val>
          <c:smooth val="0"/>
        </c:ser>
        <c:axId val="558455967"/>
        <c:axId val="1922782688"/>
      </c:lineChart>
      <c:catAx>
        <c:axId val="558455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922782688"/>
      </c:catAx>
      <c:valAx>
        <c:axId val="1922782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58455967"/>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PRICE vs. Region</a:t>
            </a:r>
          </a:p>
        </c:rich>
      </c:tx>
      <c:overlay val="0"/>
    </c:title>
    <c:plotArea>
      <c:layout/>
      <c:barChart>
        <c:barDir val="col"/>
        <c:ser>
          <c:idx val="0"/>
          <c:order val="0"/>
          <c:tx>
            <c:strRef>
              <c:f>CHARTS!$C$5</c:f>
            </c:strRef>
          </c:tx>
          <c:spPr>
            <a:solidFill>
              <a:schemeClr val="accent1"/>
            </a:solidFill>
            <a:ln cmpd="sng">
              <a:solidFill>
                <a:srgbClr val="000000"/>
              </a:solidFill>
            </a:ln>
          </c:spPr>
          <c:cat>
            <c:strRef>
              <c:f>CHARTS!$B$6:$B$9</c:f>
            </c:strRef>
          </c:cat>
          <c:val>
            <c:numRef>
              <c:f>CHARTS!$C$6:$C$9</c:f>
              <c:numCache/>
            </c:numRef>
          </c:val>
        </c:ser>
        <c:axId val="478272942"/>
        <c:axId val="2039832363"/>
      </c:barChart>
      <c:catAx>
        <c:axId val="4782729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2039832363"/>
      </c:catAx>
      <c:valAx>
        <c:axId val="20398323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8272942"/>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lineChart>
        <c:varyColors val="0"/>
        <c:ser>
          <c:idx val="0"/>
          <c:order val="0"/>
          <c:tx>
            <c:strRef>
              <c:f>CHARTS!$C$27</c:f>
            </c:strRef>
          </c:tx>
          <c:spPr>
            <a:ln cmpd="sng">
              <a:solidFill>
                <a:srgbClr val="4472C4"/>
              </a:solidFill>
            </a:ln>
          </c:spPr>
          <c:marker>
            <c:symbol val="none"/>
          </c:marker>
          <c:cat>
            <c:strRef>
              <c:f>CHARTS!$B$28:$B$29</c:f>
            </c:strRef>
          </c:cat>
          <c:val>
            <c:numRef>
              <c:f>CHARTS!$C$28:$C$29</c:f>
              <c:numCache/>
            </c:numRef>
          </c:val>
          <c:smooth val="0"/>
        </c:ser>
        <c:axId val="213418651"/>
        <c:axId val="1659709694"/>
      </c:lineChart>
      <c:catAx>
        <c:axId val="213418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Date - 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659709694"/>
      </c:catAx>
      <c:valAx>
        <c:axId val="16597096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418651"/>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1"/>
          <c:order val="1"/>
          <c:tx>
            <c:strRef>
              <c:f>CHARTS!$C$49</c:f>
            </c:strRef>
          </c:tx>
          <c:spPr>
            <a:solidFill>
              <a:schemeClr val="accent2"/>
            </a:solidFill>
            <a:ln cmpd="sng">
              <a:solidFill>
                <a:srgbClr val="000000"/>
              </a:solidFill>
            </a:ln>
          </c:spPr>
          <c:cat>
            <c:strRef>
              <c:f>CHARTS!$A$50:$A$53</c:f>
            </c:strRef>
          </c:cat>
          <c:val>
            <c:numRef>
              <c:f>CHARTS!$C$50:$C$53</c:f>
              <c:numCache/>
            </c:numRef>
          </c:val>
        </c:ser>
        <c:axId val="288725234"/>
        <c:axId val="98111639"/>
      </c:barChart>
      <c:catAx>
        <c:axId val="2887252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111639"/>
      </c:catAx>
      <c:valAx>
        <c:axId val="98111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8725234"/>
      </c:valAx>
      <c:lineChart>
        <c:varyColors val="0"/>
        <c:ser>
          <c:idx val="0"/>
          <c:order val="0"/>
          <c:tx>
            <c:strRef>
              <c:f>CHARTS!$B$49</c:f>
            </c:strRef>
          </c:tx>
          <c:spPr>
            <a:ln cmpd="sng">
              <a:solidFill>
                <a:srgbClr val="4472C4"/>
              </a:solidFill>
            </a:ln>
          </c:spPr>
          <c:marker>
            <c:symbol val="none"/>
          </c:marker>
          <c:cat>
            <c:strRef>
              <c:f>CHARTS!$A$50:$A$53</c:f>
            </c:strRef>
          </c:cat>
          <c:val>
            <c:numRef>
              <c:f>CHARTS!$B$50:$B$53</c:f>
              <c:numCache/>
            </c:numRef>
          </c:val>
          <c:smooth val="0"/>
        </c:ser>
        <c:axId val="1233109383"/>
        <c:axId val="1504839217"/>
      </c:lineChart>
      <c:catAx>
        <c:axId val="1233109383"/>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504839217"/>
      </c:catAx>
      <c:valAx>
        <c:axId val="150483921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3109383"/>
        <c:crosses val="max"/>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CHARTS!$M$5</c:f>
            </c:strRef>
          </c:tx>
          <c:dPt>
            <c:idx val="0"/>
            <c:spPr>
              <a:solidFill>
                <a:srgbClr val="4472C4"/>
              </a:solidFill>
            </c:spPr>
          </c:dPt>
          <c:dPt>
            <c:idx val="1"/>
            <c:spPr>
              <a:solidFill>
                <a:srgbClr val="ED7D31"/>
              </a:solidFill>
            </c:spPr>
          </c:dPt>
          <c:dPt>
            <c:idx val="2"/>
            <c:spPr>
              <a:solidFill>
                <a:srgbClr val="A5A5A5"/>
              </a:solidFill>
            </c:spPr>
          </c:dPt>
          <c:dLbls>
            <c:showLegendKey val="0"/>
            <c:showVal val="0"/>
            <c:showCatName val="0"/>
            <c:showSerName val="0"/>
            <c:showPercent val="0"/>
            <c:showBubbleSize val="0"/>
            <c:showLeaderLines val="1"/>
          </c:dLbls>
          <c:cat>
            <c:strRef>
              <c:f>CHARTS!$L$6:$L$8</c:f>
            </c:strRef>
          </c:cat>
          <c:val>
            <c:numRef>
              <c:f>CHARTS!$M$6:$M$8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PRICE vs. Region</a:t>
            </a:r>
          </a:p>
        </c:rich>
      </c:tx>
      <c:overlay val="0"/>
    </c:title>
    <c:plotArea>
      <c:layout/>
      <c:barChart>
        <c:barDir val="col"/>
        <c:ser>
          <c:idx val="0"/>
          <c:order val="0"/>
          <c:tx>
            <c:strRef>
              <c:f>CHARTS!$C$5</c:f>
            </c:strRef>
          </c:tx>
          <c:spPr>
            <a:solidFill>
              <a:schemeClr val="accent1"/>
            </a:solidFill>
            <a:ln cmpd="sng">
              <a:solidFill>
                <a:srgbClr val="000000"/>
              </a:solidFill>
            </a:ln>
          </c:spPr>
          <c:cat>
            <c:strRef>
              <c:f>CHARTS!$B$6:$B$9</c:f>
            </c:strRef>
          </c:cat>
          <c:val>
            <c:numRef>
              <c:f>CHARTS!$C$6:$C$9</c:f>
              <c:numCache/>
            </c:numRef>
          </c:val>
        </c:ser>
        <c:axId val="658202849"/>
        <c:axId val="1584431453"/>
      </c:barChart>
      <c:catAx>
        <c:axId val="6582028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c:txPr>
          <a:bodyPr/>
          <a:lstStyle/>
          <a:p>
            <a:pPr lvl="0">
              <a:defRPr b="0">
                <a:solidFill>
                  <a:srgbClr val="000000"/>
                </a:solidFill>
                <a:latin typeface="+mn-lt"/>
              </a:defRPr>
            </a:pPr>
          </a:p>
        </c:txPr>
        <c:crossAx val="1584431453"/>
      </c:catAx>
      <c:valAx>
        <c:axId val="1584431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 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820284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257175</xdr:colOff>
      <xdr:row>6</xdr:row>
      <xdr:rowOff>142875</xdr:rowOff>
    </xdr:from>
    <xdr:ext cx="13363575" cy="4352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66675</xdr:colOff>
      <xdr:row>33</xdr:row>
      <xdr:rowOff>57150</xdr:rowOff>
    </xdr:from>
    <xdr:ext cx="13363575" cy="4572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209550</xdr:colOff>
      <xdr:row>60</xdr:row>
      <xdr:rowOff>171450</xdr:rowOff>
    </xdr:from>
    <xdr:ext cx="13411200" cy="52101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18</xdr:col>
      <xdr:colOff>266700</xdr:colOff>
      <xdr:row>3</xdr:row>
      <xdr:rowOff>85725</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266700</xdr:colOff>
      <xdr:row>7</xdr:row>
      <xdr:rowOff>66675</xdr:rowOff>
    </xdr:from>
    <xdr:ext cx="2857500" cy="2857500"/>
    <mc:AlternateContent>
      <mc:Choice Requires="sle15">
        <xdr:graphicFrame>
          <xdr:nvGraphicFramePr>
            <xdr:cNvPr id="2" name="Date - Month_2"/>
            <xdr:cNvGraphicFramePr/>
          </xdr:nvGraphicFramePr>
          <xdr:xfrm>
            <a:off x="0" y="0"/>
            <a:ext cx="0" cy="0"/>
          </xdr:xfrm>
          <a:graphic>
            <a:graphicData uri="http://schemas.microsoft.com/office/drawing/2010/slicer">
              <x3Unk:slicer name="Date - 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18</xdr:col>
      <xdr:colOff>266700</xdr:colOff>
      <xdr:row>4</xdr:row>
      <xdr:rowOff>466725</xdr:rowOff>
    </xdr:from>
    <xdr:ext cx="2857500" cy="2857500"/>
    <mc:AlternateContent>
      <mc:Choice Requires="sle15">
        <xdr:graphicFrame>
          <xdr:nvGraphicFramePr>
            <xdr:cNvPr id="3" name="Salesperson_3"/>
            <xdr:cNvGraphicFramePr/>
          </xdr:nvGraphicFramePr>
          <xdr:xfrm>
            <a:off x="0" y="0"/>
            <a:ext cx="0" cy="0"/>
          </xdr:xfrm>
          <a:graphic>
            <a:graphicData uri="http://schemas.microsoft.com/office/drawing/2010/slicer">
              <x3Unk:slicer name="Salesperson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10</xdr:row>
      <xdr:rowOff>485775</xdr:rowOff>
    </xdr:from>
    <xdr:ext cx="10010775" cy="58864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10</xdr:row>
      <xdr:rowOff>485775</xdr:rowOff>
    </xdr:from>
    <xdr:ext cx="8429625" cy="5886450"/>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933450</xdr:colOff>
      <xdr:row>49</xdr:row>
      <xdr:rowOff>190500</xdr:rowOff>
    </xdr:from>
    <xdr:ext cx="10067925" cy="5562600"/>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19050</xdr:colOff>
      <xdr:row>4</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904875</xdr:colOff>
      <xdr:row>47</xdr:row>
      <xdr:rowOff>200025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904875</xdr:colOff>
      <xdr:row>25</xdr:row>
      <xdr:rowOff>9525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28575</xdr:colOff>
      <xdr:row>3</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400050</xdr:colOff>
      <xdr:row>0</xdr:row>
      <xdr:rowOff>57150</xdr:rowOff>
    </xdr:from>
    <xdr:ext cx="2857500" cy="2857500"/>
    <mc:AlternateContent>
      <mc:Choice Requires="sle15">
        <xdr:graphicFrame>
          <xdr:nvGraphicFramePr>
            <xdr:cNvPr id="4" name="Region_4"/>
            <xdr:cNvGraphicFramePr/>
          </xdr:nvGraphicFramePr>
          <xdr:xfrm>
            <a:off x="0" y="0"/>
            <a:ext cx="0" cy="0"/>
          </xdr:xfrm>
          <a:graphic>
            <a:graphicData uri="http://schemas.microsoft.com/office/drawing/2010/slicer">
              <x3Unk:slicer name="Regio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400050</xdr:colOff>
      <xdr:row>22</xdr:row>
      <xdr:rowOff>47625</xdr:rowOff>
    </xdr:from>
    <xdr:ext cx="2857500" cy="2857500"/>
    <mc:AlternateContent>
      <mc:Choice Requires="sle15">
        <xdr:graphicFrame>
          <xdr:nvGraphicFramePr>
            <xdr:cNvPr id="5" name="Order Date - Month_5"/>
            <xdr:cNvGraphicFramePr/>
          </xdr:nvGraphicFramePr>
          <xdr:xfrm>
            <a:off x="0" y="0"/>
            <a:ext cx="0" cy="0"/>
          </xdr:xfrm>
          <a:graphic>
            <a:graphicData uri="http://schemas.microsoft.com/office/drawing/2010/slicer">
              <x3Unk:slicer name="Order Date - Month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8</xdr:row>
      <xdr:rowOff>180975</xdr:rowOff>
    </xdr:from>
    <xdr:ext cx="8058150" cy="49053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35</xdr:row>
      <xdr:rowOff>95250</xdr:rowOff>
    </xdr:from>
    <xdr:ext cx="7153275" cy="48291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38100</xdr:colOff>
      <xdr:row>36</xdr:row>
      <xdr:rowOff>57150</xdr:rowOff>
    </xdr:from>
    <xdr:ext cx="8058150" cy="4667250"/>
    <xdr:graphicFrame>
      <xdr:nvGraphicFramePr>
        <xdr:cNvPr id="13" name="Chart 1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28575</xdr:colOff>
      <xdr:row>8</xdr:row>
      <xdr:rowOff>180975</xdr:rowOff>
    </xdr:from>
    <xdr:ext cx="7248525" cy="4905375"/>
    <xdr:graphicFrame>
      <xdr:nvGraphicFramePr>
        <xdr:cNvPr id="14" name="Chart 1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114300</xdr:colOff>
      <xdr:row>4</xdr:row>
      <xdr:rowOff>114300</xdr:rowOff>
    </xdr:from>
    <xdr:ext cx="4572000" cy="2857500"/>
    <mc:AlternateContent>
      <mc:Choice Requires="sle15">
        <xdr:graphicFrame>
          <xdr:nvGraphicFramePr>
            <xdr:cNvPr id="6" name="Region_6"/>
            <xdr:cNvGraphicFramePr/>
          </xdr:nvGraphicFramePr>
          <xdr:xfrm>
            <a:off x="0" y="0"/>
            <a:ext cx="0" cy="0"/>
          </xdr:xfrm>
          <a:graphic>
            <a:graphicData uri="http://schemas.microsoft.com/office/drawing/2010/slicer">
              <x3Unk:slicer name="Region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962025</xdr:colOff>
      <xdr:row>4</xdr:row>
      <xdr:rowOff>114300</xdr:rowOff>
    </xdr:from>
    <xdr:ext cx="4572000" cy="2857500"/>
    <mc:AlternateContent>
      <mc:Choice Requires="sle15">
        <xdr:graphicFrame>
          <xdr:nvGraphicFramePr>
            <xdr:cNvPr id="7" name="Order Date - Month_7"/>
            <xdr:cNvGraphicFramePr/>
          </xdr:nvGraphicFramePr>
          <xdr:xfrm>
            <a:off x="0" y="0"/>
            <a:ext cx="0" cy="0"/>
          </xdr:xfrm>
          <a:graphic>
            <a:graphicData uri="http://schemas.microsoft.com/office/drawing/2010/slicer">
              <x3Unk:slicer name="Order Date - Month_7"/>
            </a:graphicData>
          </a:graphic>
        </xdr:graphicFrame>
      </mc:Choice>
      <mc:Fallback>
        <xdr:sp>
          <xdr:nvSpPr>
            <xdr:cNvPr id="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49" sheet="SALES DATA"/>
  </cacheSource>
  <cacheFields>
    <cacheField name="Date" numFmtId="164">
      <sharedItems containsSemiMixedTypes="0" containsDate="1" containsString="0">
        <d v="2024-01-05T00:00:00Z"/>
        <d v="2024-01-12T00:00:00Z"/>
        <d v="2024-01-18T00:00:00Z"/>
        <d v="2024-01-25T00:00:00Z"/>
        <d v="2024-02-03T00:00:00Z"/>
        <d v="2024-02-10T00:00:00Z"/>
        <d v="2024-02-17T00:00:00Z"/>
        <d v="2024-02-22T00:00:00Z"/>
        <d v="2024-03-04T00:00:00Z"/>
        <d v="2024-03-11T00:00:00Z"/>
        <d v="2024-03-19T00:00:00Z"/>
        <d v="2024-03-26T00:00:00Z"/>
        <d v="2024-04-02T00:00:00Z"/>
        <d v="2024-04-09T00:00:00Z"/>
        <d v="2024-04-15T00:00:00Z"/>
        <d v="2024-04-23T00:00:00Z"/>
        <d v="2024-05-06T00:00:00Z"/>
        <d v="2024-05-13T00:00:00Z"/>
        <d v="2024-05-20T00:00:00Z"/>
        <d v="2024-05-27T00:00:00Z"/>
        <d v="2024-06-03T00:00:00Z"/>
        <d v="2024-06-10T00:00:00Z"/>
        <d v="2024-06-18T00:00:00Z"/>
        <d v="2024-06-25T00:00:00Z"/>
        <d v="2024-07-02T00:00:00Z"/>
        <d v="2024-07-09T00:00:00Z"/>
        <d v="2024-07-16T00:00:00Z"/>
        <d v="2024-07-23T00:00:00Z"/>
        <d v="2024-08-05T00:00:00Z"/>
        <d v="2024-08-12T00:00:00Z"/>
        <d v="2024-08-19T00:00:00Z"/>
        <d v="2024-08-26T00:00:00Z"/>
        <d v="2024-09-03T00:00:00Z"/>
        <d v="2024-09-10T00:00:00Z"/>
        <d v="2024-09-17T00:00:00Z"/>
        <d v="2024-09-24T00:00:00Z"/>
        <d v="2024-10-01T00:00:00Z"/>
        <d v="2024-10-08T00:00:00Z"/>
        <d v="2024-10-15T00:00:00Z"/>
        <d v="2024-10-22T00:00:00Z"/>
        <d v="2024-11-05T00:00:00Z"/>
        <d v="2024-11-12T00:00:00Z"/>
        <d v="2024-11-19T00:00:00Z"/>
        <d v="2024-11-26T00:00:00Z"/>
        <d v="2024-12-03T00:00:00Z"/>
        <d v="2024-12-10T00:00:00Z"/>
        <d v="2024-12-17T00:00:00Z"/>
        <d v="2024-12-24T00:00:00Z"/>
      </sharedItems>
    </cacheField>
    <cacheField name="Salesperson" numFmtId="0">
      <sharedItems>
        <s v="Aarav Sharma"/>
        <s v="Priya Patel"/>
        <s v="Vikram Singh"/>
        <s v="Ananya Reddy"/>
        <s v="Rohit Kumar"/>
        <s v="Sneha Iyer"/>
      </sharedItems>
    </cacheField>
    <cacheField name="Region" numFmtId="0">
      <sharedItems>
        <s v="North"/>
        <s v="South"/>
        <s v="East"/>
        <s v="West"/>
      </sharedItems>
    </cacheField>
    <cacheField name="Product" numFmtId="0">
      <sharedItems>
        <s v="Laptop"/>
        <s v="Mobile"/>
        <s v="Tablet"/>
        <s v="Headphones"/>
      </sharedItems>
    </cacheField>
    <cacheField name="Sales Amount ()" numFmtId="4">
      <sharedItems containsSemiMixedTypes="0" containsString="0" containsNumber="1" containsInteger="1">
        <n v="85000.0"/>
        <n v="32000.0"/>
        <n v="28000.0"/>
        <n v="92000.0"/>
        <n v="45000.0"/>
        <n v="18000.0"/>
        <n v="78000.0"/>
        <n v="35000.0"/>
        <n v="52000.0"/>
        <n v="96000.0"/>
        <n v="22000.0"/>
        <n v="41000.0"/>
        <n v="38000.0"/>
        <n v="88000.0"/>
        <n v="25000.0"/>
        <n v="47000.0"/>
        <n v="74000.0"/>
        <n v="33000.0"/>
        <n v="56000.0"/>
        <n v="19000.0"/>
        <n v="82000.0"/>
        <n v="44000.0"/>
        <n v="61000.0"/>
        <n v="91000.0"/>
        <n v="27000.0"/>
        <n v="95000.0"/>
        <n v="43000.0"/>
        <n v="87000.0"/>
        <n v="49000.0"/>
        <n v="36000.0"/>
        <n v="93000.0"/>
        <n v="31000.0"/>
        <n v="55000.0"/>
        <n v="79000.0"/>
        <n v="42000.0"/>
        <n v="98000.0"/>
        <n v="53000.0"/>
        <n v="23000.0"/>
        <n v="86000.0"/>
        <n v="39000.0"/>
        <n v="94000.0"/>
        <n v="64000.0"/>
        <n v="46000.0"/>
        <n v="89000.0"/>
        <n v="58000.0"/>
        <n v="29000.0"/>
        <n v="97000.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E49" sheet="SALES DATA"/>
  </cacheSource>
  <cacheFields>
    <cacheField name="Date" numFmtId="164">
      <sharedItems containsSemiMixedTypes="0" containsNonDate="0" containsDate="1" containsString="0" minDate="2024-01-05T00:00:00Z" maxDate="2024-12-25T00:00:00Z">
        <d v="2024-01-05T00:00:00Z"/>
        <d v="2024-01-12T00:00:00Z"/>
        <d v="2024-01-18T00:00:00Z"/>
        <d v="2024-01-25T00:00:00Z"/>
        <d v="2024-02-03T00:00:00Z"/>
        <d v="2024-02-10T00:00:00Z"/>
        <d v="2024-02-17T00:00:00Z"/>
        <d v="2024-02-22T00:00:00Z"/>
        <d v="2024-03-04T00:00:00Z"/>
        <d v="2024-03-11T00:00:00Z"/>
        <d v="2024-03-19T00:00:00Z"/>
        <d v="2024-03-26T00:00:00Z"/>
        <d v="2024-04-02T00:00:00Z"/>
        <d v="2024-04-09T00:00:00Z"/>
        <d v="2024-04-15T00:00:00Z"/>
        <d v="2024-04-23T00:00:00Z"/>
        <d v="2024-05-06T00:00:00Z"/>
        <d v="2024-05-13T00:00:00Z"/>
        <d v="2024-05-20T00:00:00Z"/>
        <d v="2024-05-27T00:00:00Z"/>
        <d v="2024-06-03T00:00:00Z"/>
        <d v="2024-06-10T00:00:00Z"/>
        <d v="2024-06-18T00:00:00Z"/>
        <d v="2024-06-25T00:00:00Z"/>
        <d v="2024-07-02T00:00:00Z"/>
        <d v="2024-07-09T00:00:00Z"/>
        <d v="2024-07-16T00:00:00Z"/>
        <d v="2024-07-23T00:00:00Z"/>
        <d v="2024-08-05T00:00:00Z"/>
        <d v="2024-08-12T00:00:00Z"/>
        <d v="2024-08-19T00:00:00Z"/>
        <d v="2024-08-26T00:00:00Z"/>
        <d v="2024-09-03T00:00:00Z"/>
        <d v="2024-09-10T00:00:00Z"/>
        <d v="2024-09-17T00:00:00Z"/>
        <d v="2024-09-24T00:00:00Z"/>
        <d v="2024-10-01T00:00:00Z"/>
        <d v="2024-10-08T00:00:00Z"/>
        <d v="2024-10-15T00:00:00Z"/>
        <d v="2024-10-22T00:00:00Z"/>
        <d v="2024-11-05T00:00:00Z"/>
        <d v="2024-11-12T00:00:00Z"/>
        <d v="2024-11-19T00:00:00Z"/>
        <d v="2024-11-26T00:00:00Z"/>
        <d v="2024-12-03T00:00:00Z"/>
        <d v="2024-12-10T00:00:00Z"/>
        <d v="2024-12-17T00:00:00Z"/>
        <d v="2024-12-24T00:00:00Z"/>
      </sharedItems>
      <fieldGroup base="0">
        <rangePr autoStart="0" autoEnd="0" groupBy="months" startDate="2024-01-05T00:00:00Z" endDate="2024-12-25T00:00:00Z"/>
        <groupItems>
          <s v="&lt;01/05/24"/>
          <s v="Jan"/>
          <s v="Feb"/>
          <s v="Mar"/>
          <s v="Apr"/>
          <s v="May"/>
          <s v="Jun"/>
          <s v="Jul"/>
          <s v="Aug"/>
          <s v="Sep"/>
          <s v="Oct"/>
          <s v="Nov"/>
          <s v="Dec"/>
          <s v="&gt;12/25/24"/>
        </groupItems>
      </fieldGroup>
    </cacheField>
    <cacheField name="Salesperson" numFmtId="0">
      <sharedItems>
        <s v="Aarav Sharma"/>
        <s v="Priya Patel"/>
        <s v="Vikram Singh"/>
        <s v="Ananya Reddy"/>
        <s v="Rohit Kumar"/>
        <s v="Sneha Iyer"/>
      </sharedItems>
    </cacheField>
    <cacheField name="Region" numFmtId="0">
      <sharedItems>
        <s v="North"/>
        <s v="South"/>
        <s v="East"/>
        <s v="West"/>
      </sharedItems>
    </cacheField>
    <cacheField name="Product" numFmtId="0">
      <sharedItems>
        <s v="Laptop"/>
        <s v="Mobile"/>
        <s v="Tablet"/>
        <s v="Headphones"/>
      </sharedItems>
    </cacheField>
    <cacheField name="Sales Amount ()" numFmtId="4">
      <sharedItems containsSemiMixedTypes="0" containsString="0" containsNumber="1" containsInteger="1">
        <n v="85000.0"/>
        <n v="32000.0"/>
        <n v="28000.0"/>
        <n v="92000.0"/>
        <n v="45000.0"/>
        <n v="18000.0"/>
        <n v="78000.0"/>
        <n v="35000.0"/>
        <n v="52000.0"/>
        <n v="96000.0"/>
        <n v="22000.0"/>
        <n v="41000.0"/>
        <n v="38000.0"/>
        <n v="88000.0"/>
        <n v="25000.0"/>
        <n v="47000.0"/>
        <n v="74000.0"/>
        <n v="33000.0"/>
        <n v="56000.0"/>
        <n v="19000.0"/>
        <n v="82000.0"/>
        <n v="44000.0"/>
        <n v="61000.0"/>
        <n v="91000.0"/>
        <n v="27000.0"/>
        <n v="95000.0"/>
        <n v="43000.0"/>
        <n v="87000.0"/>
        <n v="49000.0"/>
        <n v="36000.0"/>
        <n v="93000.0"/>
        <n v="31000.0"/>
        <n v="55000.0"/>
        <n v="79000.0"/>
        <n v="42000.0"/>
        <n v="98000.0"/>
        <n v="53000.0"/>
        <n v="23000.0"/>
        <n v="86000.0"/>
        <n v="39000.0"/>
        <n v="94000.0"/>
        <n v="64000.0"/>
        <n v="46000.0"/>
        <n v="89000.0"/>
        <n v="58000.0"/>
        <n v="29000.0"/>
        <n v="9700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51" sheet="data"/>
  </cacheSource>
  <cacheFields>
    <cacheField name="Order ID" numFmtId="0">
      <sharedItems>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haredItems>
    </cacheField>
    <cacheField name="Order Date" numFmtId="169">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sharedItems>
    </cacheField>
    <cacheField name="Customer Name" numFmtId="0">
      <sharedItems>
        <s v="Alice Smith"/>
        <s v="Bob Johnson"/>
        <s v="Charlie Brown"/>
        <s v="Diana Prince"/>
        <s v="Evan Davis"/>
        <s v="Fiona Clark"/>
        <s v="George White"/>
        <s v="Hannah Lewis"/>
        <s v="Ian Walker"/>
        <s v="Julia Hall"/>
        <s v="Kevin Young"/>
        <s v="Laura King"/>
        <s v="Mike Wright"/>
        <s v="Nina Scott"/>
        <s v="Oscar Green"/>
        <s v="Paul Adams"/>
        <s v="Quinn Baker"/>
        <s v="Rachel Nelson"/>
        <s v="Sam Carter"/>
        <s v="Tina Mitchell"/>
        <s v="Uma Perez"/>
        <s v="Victor Roberts"/>
        <s v="Wendy Turner"/>
        <s v="Xavier Phillips"/>
        <s v="Yara Campbell"/>
        <s v="Zack Parker"/>
        <s v="Alice Evans"/>
        <s v="Bob Edwards"/>
        <s v="Charlie Collins"/>
        <s v="Diana Stewart"/>
        <s v="Evan Sanchez"/>
        <s v="Fiona Morris"/>
        <s v="George Rogers"/>
        <s v="Hannah Reed"/>
        <s v="Ian Cook"/>
        <s v="Julia Morgan"/>
        <s v="Kevin Bell"/>
        <s v="Laura Murphy"/>
        <s v="Mike Bailey"/>
        <s v="Nina Rivera"/>
        <s v="Oscar Cooper"/>
        <s v="Paul Richardson"/>
        <s v="Quinn Cox"/>
        <s v="Rachel Howard"/>
        <s v="Sam Ward"/>
        <s v="Tina Torres"/>
        <s v="Uma Peterson"/>
        <s v="Victor Gray"/>
        <s v="Wendy Ramirez"/>
        <s v="Xavier James"/>
      </sharedItems>
    </cacheField>
    <cacheField name="Region" numFmtId="0">
      <sharedItems>
        <s v="North"/>
        <s v="South"/>
        <s v="East"/>
        <s v="West"/>
      </sharedItems>
    </cacheField>
    <cacheField name="Category" numFmtId="0">
      <sharedItems>
        <s v="Electronics"/>
        <s v="Furniture"/>
        <s v="Office Supplies"/>
      </sharedItems>
    </cacheField>
    <cacheField name="Product" numFmtId="0">
      <sharedItems>
        <s v="Laptop"/>
        <s v="Chair"/>
        <s v="Paper"/>
        <s v="Phone"/>
        <s v="Desk"/>
        <s v="Pen"/>
        <s v="Monitor"/>
        <s v="Table"/>
        <s v="Binder"/>
        <s v="Tablet"/>
        <s v="Sofa"/>
        <s v="Stapler"/>
      </sharedItems>
    </cacheField>
    <cacheField name="Quantity" numFmtId="0">
      <sharedItems containsSemiMixedTypes="0" containsString="0" containsNumber="1" containsInteger="1">
        <n v="2.0"/>
        <n v="4.0"/>
        <n v="10.0"/>
        <n v="1.0"/>
        <n v="50.0"/>
        <n v="20.0"/>
        <n v="3.0"/>
        <n v="15.0"/>
        <n v="6.0"/>
        <n v="5.0"/>
        <n v="100.0"/>
        <n v="30.0"/>
        <n v="8.0"/>
        <n v="200.0"/>
        <n v="40.0"/>
        <n v="25.0"/>
        <n v="300.0"/>
        <n v="12.0"/>
      </sharedItems>
    </cacheField>
    <cacheField name="Unit Price" numFmtId="167">
      <sharedItems containsSemiMixedTypes="0" containsString="0" containsNumber="1" containsInteger="1">
        <n v="1200.0"/>
        <n v="150.0"/>
        <n v="20.0"/>
        <n v="800.0"/>
        <n v="300.0"/>
        <n v="2.0"/>
        <n v="250.0"/>
        <n v="400.0"/>
        <n v="5.0"/>
        <n v="900.0"/>
        <n v="10.0"/>
      </sharedItems>
    </cacheField>
    <cacheField name="ORIGINAL PRICE" numFmtId="167">
      <sharedItems containsSemiMixedTypes="0" containsString="0" containsNumber="1" containsInteger="1">
        <n v="2400.0"/>
        <n v="600.0"/>
        <n v="200.0"/>
        <n v="800.0"/>
        <n v="300.0"/>
        <n v="100.0"/>
        <n v="500.0"/>
        <n v="400.0"/>
        <n v="1200.0"/>
        <n v="900.0"/>
        <n v="150.0"/>
        <n v="1600.0"/>
        <n v="1000.0"/>
        <n v="1800.0"/>
        <n v="3600.0"/>
        <n v="250.0"/>
        <n v="2700.0"/>
        <n v="4800.0"/>
        <n v="1500.0"/>
        <n v="3200.0"/>
        <n v="1250.0"/>
        <n v="6000.0"/>
      </sharedItems>
    </cacheField>
    <cacheField name="SALES PRICE" numFmtId="4">
      <sharedItems containsSemiMixedTypes="0" containsString="0" containsNumber="1" containsInteger="1">
        <n v="2200.0"/>
        <n v="550.0"/>
        <n v="170.0"/>
        <n v="750.0"/>
        <n v="280.0"/>
        <n v="70.0"/>
        <n v="460.0"/>
        <n v="340.0"/>
        <n v="80.0"/>
        <n v="1140.0"/>
        <n v="800.0"/>
        <n v="120.0"/>
        <n v="1000.0"/>
        <n v="450.0"/>
        <n v="85.0"/>
        <n v="1400.0"/>
        <n v="400.0"/>
        <n v="150.0"/>
        <n v="900.0"/>
        <n v="110.0"/>
        <n v="350.0"/>
        <n v="160.0"/>
        <n v="3300.0"/>
        <n v="1100.0"/>
        <n v="200.0"/>
        <n v="700.0"/>
        <n v="190.0"/>
        <n v="2400.0"/>
        <n v="220.0"/>
        <n v="4400.0"/>
        <n v="300.0"/>
        <n v="3000.0"/>
        <n v="500.0"/>
        <n v="1450.0"/>
        <n v="180.0"/>
        <n v="1350.0"/>
        <n v="3200.0"/>
        <n v="4500.0"/>
        <n v="1600.0"/>
      </sharedItems>
    </cacheField>
    <cacheField name="discount" numFmtId="10">
      <sharedItems containsSemiMixedTypes="0" containsString="0" containsNumber="1">
        <n v="0.08333333333333333"/>
        <n v="0.15"/>
        <n v="0.0625"/>
        <n v="0.06666666666666667"/>
        <n v="0.3"/>
        <n v="0.08"/>
        <n v="0.2"/>
        <n v="0.05"/>
        <n v="0.1111111111111111"/>
        <n v="0.16666666666666666"/>
        <n v="0.5"/>
        <n v="0.125"/>
        <n v="0.3333333333333333"/>
        <n v="0.25"/>
        <n v="0.1"/>
        <n v="0.26666666666666666"/>
        <n v="0.2222222222222222"/>
        <n v="0.24"/>
        <n v="0.12"/>
        <n v="0.09375"/>
        <n v="0.28"/>
        <n v="0.15625"/>
      </sharedItems>
    </cacheField>
    <cacheField name="COST" numFmtId="4">
      <sharedItems containsSemiMixedTypes="0" containsString="0" containsNumber="1">
        <n v="1540.0"/>
        <n v="385.0"/>
        <n v="118.99999999999999"/>
        <n v="525.0"/>
        <n v="196.0"/>
        <n v="49.0"/>
        <n v="322.0"/>
        <n v="237.99999999999997"/>
        <n v="56.0"/>
        <n v="798.0"/>
        <n v="560.0"/>
        <n v="84.0"/>
        <n v="700.0"/>
        <n v="315.0"/>
        <n v="59.49999999999999"/>
        <n v="979.9999999999999"/>
        <n v="280.0"/>
        <n v="105.0"/>
        <n v="630.0"/>
        <n v="77.0"/>
        <n v="244.99999999999997"/>
        <n v="112.0"/>
        <n v="2310.0"/>
        <n v="770.0"/>
        <n v="140.0"/>
        <n v="489.99999999999994"/>
        <n v="133.0"/>
        <n v="1680.0"/>
        <n v="154.0"/>
        <n v="3080.0"/>
        <n v="210.0"/>
        <n v="2100.0"/>
        <n v="350.0"/>
        <n v="1014.9999999999999"/>
        <n v="125.99999999999999"/>
        <n v="944.9999999999999"/>
        <n v="2240.0"/>
        <n v="3150.0"/>
        <n v="1120.0"/>
      </sharedItems>
    </cacheField>
    <cacheField name="PROFIT" numFmtId="4">
      <sharedItems containsSemiMixedTypes="0" containsString="0" containsNumber="1">
        <n v="660.0"/>
        <n v="165.0"/>
        <n v="51.000000000000014"/>
        <n v="225.0"/>
        <n v="84.0"/>
        <n v="21.0"/>
        <n v="138.0"/>
        <n v="102.00000000000003"/>
        <n v="24.0"/>
        <n v="342.0"/>
        <n v="240.0"/>
        <n v="36.0"/>
        <n v="300.0"/>
        <n v="135.0"/>
        <n v="25.500000000000007"/>
        <n v="420.0000000000001"/>
        <n v="120.0"/>
        <n v="45.0"/>
        <n v="270.0"/>
        <n v="33.0"/>
        <n v="105.00000000000003"/>
        <n v="48.0"/>
        <n v="990.0"/>
        <n v="330.0"/>
        <n v="60.0"/>
        <n v="210.00000000000006"/>
        <n v="57.0"/>
        <n v="720.0"/>
        <n v="66.0"/>
        <n v="1320.0"/>
        <n v="90.0"/>
        <n v="900.0"/>
        <n v="150.0"/>
        <n v="435.0000000000001"/>
        <n v="54.000000000000014"/>
        <n v="405.0000000000001"/>
        <n v="960.0"/>
        <n v="1350.0"/>
        <n v="480.0"/>
      </sharedItems>
    </cacheField>
    <cacheField name="Status" numFmtId="0">
      <sharedItems>
        <s v="Delivered"/>
        <s v="Shipped"/>
        <s v="Processing"/>
      </sharedItems>
    </cacheField>
    <cacheField name="MARGIN" numFmtId="10">
      <sharedItems containsSemiMixedTypes="0" containsString="0" containsNumber="1">
        <n v="0.3"/>
        <n v="0.3000000000000001"/>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51" sheet="data"/>
  </cacheSource>
  <cacheFields>
    <cacheField name="Order ID" numFmtId="0">
      <sharedItems>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haredItems>
    </cacheField>
    <cacheField name="Order Date" numFmtId="169">
      <sharedItems containsSemiMixedTypes="0" containsNonDate="0" containsDate="1" containsString="0" minDate="2023-01-01T00:00:00Z" maxDate="2023-02-20T00:00:00Z">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sharedItems>
      <fieldGroup base="1">
        <rangePr autoStart="0" autoEnd="0" groupBy="months" startDate="2023-01-01T00:00:00Z" endDate="2023-02-20T00:00:00Z"/>
        <groupItems>
          <s v="&lt;01/01/23"/>
          <s v="Jan"/>
          <s v="Feb"/>
          <s v="Mar"/>
          <s v="Apr"/>
          <s v="May"/>
          <s v="Jun"/>
          <s v="Jul"/>
          <s v="Aug"/>
          <s v="Sep"/>
          <s v="Oct"/>
          <s v="Nov"/>
          <s v="Dec"/>
          <s v="&gt;02/20/23"/>
        </groupItems>
      </fieldGroup>
    </cacheField>
    <cacheField name="Customer Name" numFmtId="0">
      <sharedItems>
        <s v="Alice Smith"/>
        <s v="Bob Johnson"/>
        <s v="Charlie Brown"/>
        <s v="Diana Prince"/>
        <s v="Evan Davis"/>
        <s v="Fiona Clark"/>
        <s v="George White"/>
        <s v="Hannah Lewis"/>
        <s v="Ian Walker"/>
        <s v="Julia Hall"/>
        <s v="Kevin Young"/>
        <s v="Laura King"/>
        <s v="Mike Wright"/>
        <s v="Nina Scott"/>
        <s v="Oscar Green"/>
        <s v="Paul Adams"/>
        <s v="Quinn Baker"/>
        <s v="Rachel Nelson"/>
        <s v="Sam Carter"/>
        <s v="Tina Mitchell"/>
        <s v="Uma Perez"/>
        <s v="Victor Roberts"/>
        <s v="Wendy Turner"/>
        <s v="Xavier Phillips"/>
        <s v="Yara Campbell"/>
        <s v="Zack Parker"/>
        <s v="Alice Evans"/>
        <s v="Bob Edwards"/>
        <s v="Charlie Collins"/>
        <s v="Diana Stewart"/>
        <s v="Evan Sanchez"/>
        <s v="Fiona Morris"/>
        <s v="George Rogers"/>
        <s v="Hannah Reed"/>
        <s v="Ian Cook"/>
        <s v="Julia Morgan"/>
        <s v="Kevin Bell"/>
        <s v="Laura Murphy"/>
        <s v="Mike Bailey"/>
        <s v="Nina Rivera"/>
        <s v="Oscar Cooper"/>
        <s v="Paul Richardson"/>
        <s v="Quinn Cox"/>
        <s v="Rachel Howard"/>
        <s v="Sam Ward"/>
        <s v="Tina Torres"/>
        <s v="Uma Peterson"/>
        <s v="Victor Gray"/>
        <s v="Wendy Ramirez"/>
        <s v="Xavier James"/>
      </sharedItems>
    </cacheField>
    <cacheField name="Region" numFmtId="0">
      <sharedItems>
        <s v="North"/>
        <s v="South"/>
        <s v="East"/>
        <s v="West"/>
      </sharedItems>
    </cacheField>
    <cacheField name="Category" numFmtId="0">
      <sharedItems>
        <s v="Electronics"/>
        <s v="Furniture"/>
        <s v="Office Supplies"/>
      </sharedItems>
    </cacheField>
    <cacheField name="Product" numFmtId="0">
      <sharedItems>
        <s v="Laptop"/>
        <s v="Chair"/>
        <s v="Paper"/>
        <s v="Phone"/>
        <s v="Desk"/>
        <s v="Pen"/>
        <s v="Monitor"/>
        <s v="Table"/>
        <s v="Binder"/>
        <s v="Tablet"/>
        <s v="Sofa"/>
        <s v="Stapler"/>
      </sharedItems>
    </cacheField>
    <cacheField name="Quantity" numFmtId="0">
      <sharedItems containsSemiMixedTypes="0" containsString="0" containsNumber="1" containsInteger="1">
        <n v="2.0"/>
        <n v="4.0"/>
        <n v="10.0"/>
        <n v="1.0"/>
        <n v="50.0"/>
        <n v="20.0"/>
        <n v="3.0"/>
        <n v="15.0"/>
        <n v="6.0"/>
        <n v="5.0"/>
        <n v="100.0"/>
        <n v="30.0"/>
        <n v="8.0"/>
        <n v="200.0"/>
        <n v="40.0"/>
        <n v="25.0"/>
        <n v="300.0"/>
        <n v="12.0"/>
      </sharedItems>
    </cacheField>
    <cacheField name="Unit Price" numFmtId="167">
      <sharedItems containsSemiMixedTypes="0" containsString="0" containsNumber="1" containsInteger="1">
        <n v="1200.0"/>
        <n v="150.0"/>
        <n v="20.0"/>
        <n v="800.0"/>
        <n v="300.0"/>
        <n v="2.0"/>
        <n v="250.0"/>
        <n v="400.0"/>
        <n v="5.0"/>
        <n v="900.0"/>
        <n v="10.0"/>
      </sharedItems>
    </cacheField>
    <cacheField name="ORIGINAL PRICE" numFmtId="167">
      <sharedItems containsSemiMixedTypes="0" containsString="0" containsNumber="1" containsInteger="1">
        <n v="2400.0"/>
        <n v="600.0"/>
        <n v="200.0"/>
        <n v="800.0"/>
        <n v="300.0"/>
        <n v="100.0"/>
        <n v="500.0"/>
        <n v="400.0"/>
        <n v="1200.0"/>
        <n v="900.0"/>
        <n v="150.0"/>
        <n v="1600.0"/>
        <n v="1000.0"/>
        <n v="1800.0"/>
        <n v="3600.0"/>
        <n v="250.0"/>
        <n v="2700.0"/>
        <n v="4800.0"/>
        <n v="1500.0"/>
        <n v="3200.0"/>
        <n v="1250.0"/>
        <n v="6000.0"/>
      </sharedItems>
    </cacheField>
    <cacheField name="SALES PRICE" numFmtId="4">
      <sharedItems containsSemiMixedTypes="0" containsString="0" containsNumber="1" containsInteger="1">
        <n v="2200.0"/>
        <n v="550.0"/>
        <n v="170.0"/>
        <n v="750.0"/>
        <n v="280.0"/>
        <n v="70.0"/>
        <n v="460.0"/>
        <n v="340.0"/>
        <n v="80.0"/>
        <n v="1140.0"/>
        <n v="800.0"/>
        <n v="120.0"/>
        <n v="1000.0"/>
        <n v="450.0"/>
        <n v="85.0"/>
        <n v="1400.0"/>
        <n v="400.0"/>
        <n v="150.0"/>
        <n v="900.0"/>
        <n v="110.0"/>
        <n v="350.0"/>
        <n v="160.0"/>
        <n v="3300.0"/>
        <n v="1100.0"/>
        <n v="200.0"/>
        <n v="700.0"/>
        <n v="190.0"/>
        <n v="2400.0"/>
        <n v="220.0"/>
        <n v="4400.0"/>
        <n v="300.0"/>
        <n v="3000.0"/>
        <n v="500.0"/>
        <n v="1450.0"/>
        <n v="180.0"/>
        <n v="1350.0"/>
        <n v="3200.0"/>
        <n v="4500.0"/>
        <n v="1600.0"/>
      </sharedItems>
    </cacheField>
    <cacheField name="discount" numFmtId="10">
      <sharedItems containsSemiMixedTypes="0" containsString="0" containsNumber="1">
        <n v="0.08333333333333333"/>
        <n v="0.15"/>
        <n v="0.0625"/>
        <n v="0.06666666666666667"/>
        <n v="0.3"/>
        <n v="0.08"/>
        <n v="0.2"/>
        <n v="0.05"/>
        <n v="0.1111111111111111"/>
        <n v="0.16666666666666666"/>
        <n v="0.5"/>
        <n v="0.125"/>
        <n v="0.3333333333333333"/>
        <n v="0.25"/>
        <n v="0.1"/>
        <n v="0.26666666666666666"/>
        <n v="0.2222222222222222"/>
        <n v="0.24"/>
        <n v="0.12"/>
        <n v="0.09375"/>
        <n v="0.28"/>
        <n v="0.15625"/>
      </sharedItems>
    </cacheField>
    <cacheField name="COST" numFmtId="4">
      <sharedItems containsSemiMixedTypes="0" containsString="0" containsNumber="1">
        <n v="1540.0"/>
        <n v="385.0"/>
        <n v="118.99999999999999"/>
        <n v="525.0"/>
        <n v="196.0"/>
        <n v="49.0"/>
        <n v="322.0"/>
        <n v="237.99999999999997"/>
        <n v="56.0"/>
        <n v="798.0"/>
        <n v="560.0"/>
        <n v="84.0"/>
        <n v="700.0"/>
        <n v="315.0"/>
        <n v="59.49999999999999"/>
        <n v="979.9999999999999"/>
        <n v="280.0"/>
        <n v="105.0"/>
        <n v="630.0"/>
        <n v="77.0"/>
        <n v="244.99999999999997"/>
        <n v="112.0"/>
        <n v="2310.0"/>
        <n v="770.0"/>
        <n v="140.0"/>
        <n v="489.99999999999994"/>
        <n v="133.0"/>
        <n v="1680.0"/>
        <n v="154.0"/>
        <n v="3080.0"/>
        <n v="210.0"/>
        <n v="2100.0"/>
        <n v="350.0"/>
        <n v="1014.9999999999999"/>
        <n v="125.99999999999999"/>
        <n v="944.9999999999999"/>
        <n v="2240.0"/>
        <n v="3150.0"/>
        <n v="1120.0"/>
      </sharedItems>
    </cacheField>
    <cacheField name="PROFIT" numFmtId="4">
      <sharedItems containsSemiMixedTypes="0" containsString="0" containsNumber="1">
        <n v="660.0"/>
        <n v="165.0"/>
        <n v="51.000000000000014"/>
        <n v="225.0"/>
        <n v="84.0"/>
        <n v="21.0"/>
        <n v="138.0"/>
        <n v="102.00000000000003"/>
        <n v="24.0"/>
        <n v="342.0"/>
        <n v="240.0"/>
        <n v="36.0"/>
        <n v="300.0"/>
        <n v="135.0"/>
        <n v="25.500000000000007"/>
        <n v="420.0000000000001"/>
        <n v="120.0"/>
        <n v="45.0"/>
        <n v="270.0"/>
        <n v="33.0"/>
        <n v="105.00000000000003"/>
        <n v="48.0"/>
        <n v="990.0"/>
        <n v="330.0"/>
        <n v="60.0"/>
        <n v="210.00000000000006"/>
        <n v="57.0"/>
        <n v="720.0"/>
        <n v="66.0"/>
        <n v="1320.0"/>
        <n v="90.0"/>
        <n v="900.0"/>
        <n v="150.0"/>
        <n v="435.0000000000001"/>
        <n v="54.000000000000014"/>
        <n v="405.0000000000001"/>
        <n v="960.0"/>
        <n v="1350.0"/>
        <n v="480.0"/>
      </sharedItems>
    </cacheField>
    <cacheField name="Status" numFmtId="0">
      <sharedItems>
        <s v="Delivered"/>
        <s v="Shipped"/>
        <s v="Processing"/>
      </sharedItems>
    </cacheField>
    <cacheField name="MARGIN" numFmtId="10">
      <sharedItems containsSemiMixedTypes="0" containsString="0" containsNumber="1">
        <n v="0.3"/>
        <n v="0.3000000000000001"/>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51" sheet="data"/>
  </cacheSource>
  <cacheFields>
    <cacheField name="Order ID" numFmtId="0">
      <sharedItems>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haredItems>
    </cacheField>
    <cacheField name="Order Date" numFmtId="169">
      <sharedItems containsSemiMixedTypes="0" containsNonDate="0" containsDate="1" containsString="0" minDate="2023-01-01T00:00:00Z" maxDate="2023-02-20T00:00:00Z">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sharedItems>
      <fieldGroup base="1">
        <rangePr autoStart="0" autoEnd="0" groupBy="months" startDate="2023-01-01T00:00:00Z" endDate="2023-02-20T00:00:00Z"/>
        <groupItems>
          <s v="&lt;01/01/23"/>
          <s v="Jan"/>
          <s v="Feb"/>
          <s v="Mar"/>
          <s v="Apr"/>
          <s v="May"/>
          <s v="Jun"/>
          <s v="Jul"/>
          <s v="Aug"/>
          <s v="Sep"/>
          <s v="Oct"/>
          <s v="Nov"/>
          <s v="Dec"/>
          <s v="&gt;02/20/23"/>
        </groupItems>
      </fieldGroup>
    </cacheField>
    <cacheField name="Customer Name" numFmtId="0">
      <sharedItems>
        <s v="Alice Smith"/>
        <s v="Bob Johnson"/>
        <s v="Charlie Brown"/>
        <s v="Diana Prince"/>
        <s v="Evan Davis"/>
        <s v="Fiona Clark"/>
        <s v="George White"/>
        <s v="Hannah Lewis"/>
        <s v="Ian Walker"/>
        <s v="Julia Hall"/>
        <s v="Kevin Young"/>
        <s v="Laura King"/>
        <s v="Mike Wright"/>
        <s v="Nina Scott"/>
        <s v="Oscar Green"/>
        <s v="Paul Adams"/>
        <s v="Quinn Baker"/>
        <s v="Rachel Nelson"/>
        <s v="Sam Carter"/>
        <s v="Tina Mitchell"/>
        <s v="Uma Perez"/>
        <s v="Victor Roberts"/>
        <s v="Wendy Turner"/>
        <s v="Xavier Phillips"/>
        <s v="Yara Campbell"/>
        <s v="Zack Parker"/>
        <s v="Alice Evans"/>
        <s v="Bob Edwards"/>
        <s v="Charlie Collins"/>
        <s v="Diana Stewart"/>
        <s v="Evan Sanchez"/>
        <s v="Fiona Morris"/>
        <s v="George Rogers"/>
        <s v="Hannah Reed"/>
        <s v="Ian Cook"/>
        <s v="Julia Morgan"/>
        <s v="Kevin Bell"/>
        <s v="Laura Murphy"/>
        <s v="Mike Bailey"/>
        <s v="Nina Rivera"/>
        <s v="Oscar Cooper"/>
        <s v="Paul Richardson"/>
        <s v="Quinn Cox"/>
        <s v="Rachel Howard"/>
        <s v="Sam Ward"/>
        <s v="Tina Torres"/>
        <s v="Uma Peterson"/>
        <s v="Victor Gray"/>
        <s v="Wendy Ramirez"/>
        <s v="Xavier James"/>
      </sharedItems>
    </cacheField>
    <cacheField name="Region" numFmtId="0">
      <sharedItems>
        <s v="North"/>
        <s v="South"/>
        <s v="East"/>
        <s v="West"/>
      </sharedItems>
    </cacheField>
    <cacheField name="Category" numFmtId="0">
      <sharedItems>
        <s v="Electronics"/>
        <s v="Furniture"/>
        <s v="Office Supplies"/>
      </sharedItems>
    </cacheField>
    <cacheField name="Product" numFmtId="0">
      <sharedItems>
        <s v="Laptop"/>
        <s v="Chair"/>
        <s v="Paper"/>
        <s v="Phone"/>
        <s v="Desk"/>
        <s v="Pen"/>
        <s v="Monitor"/>
        <s v="Table"/>
        <s v="Binder"/>
        <s v="Tablet"/>
        <s v="Sofa"/>
        <s v="Stapler"/>
      </sharedItems>
    </cacheField>
    <cacheField name="Quantity" numFmtId="0">
      <sharedItems containsSemiMixedTypes="0" containsString="0" containsNumber="1" containsInteger="1">
        <n v="2.0"/>
        <n v="4.0"/>
        <n v="10.0"/>
        <n v="1.0"/>
        <n v="50.0"/>
        <n v="20.0"/>
        <n v="3.0"/>
        <n v="15.0"/>
        <n v="6.0"/>
        <n v="5.0"/>
        <n v="100.0"/>
        <n v="30.0"/>
        <n v="8.0"/>
        <n v="200.0"/>
        <n v="40.0"/>
        <n v="25.0"/>
        <n v="300.0"/>
        <n v="12.0"/>
      </sharedItems>
    </cacheField>
    <cacheField name="Unit Price" numFmtId="167">
      <sharedItems containsSemiMixedTypes="0" containsString="0" containsNumber="1" containsInteger="1">
        <n v="1200.0"/>
        <n v="150.0"/>
        <n v="20.0"/>
        <n v="800.0"/>
        <n v="300.0"/>
        <n v="2.0"/>
        <n v="250.0"/>
        <n v="400.0"/>
        <n v="5.0"/>
        <n v="900.0"/>
        <n v="10.0"/>
      </sharedItems>
    </cacheField>
    <cacheField name="ORIGINAL PRICE" numFmtId="167">
      <sharedItems containsSemiMixedTypes="0" containsString="0" containsNumber="1" containsInteger="1">
        <n v="2400.0"/>
        <n v="600.0"/>
        <n v="200.0"/>
        <n v="800.0"/>
        <n v="300.0"/>
        <n v="100.0"/>
        <n v="500.0"/>
        <n v="400.0"/>
        <n v="1200.0"/>
        <n v="900.0"/>
        <n v="150.0"/>
        <n v="1600.0"/>
        <n v="1000.0"/>
        <n v="1800.0"/>
        <n v="3600.0"/>
        <n v="250.0"/>
        <n v="2700.0"/>
        <n v="4800.0"/>
        <n v="1500.0"/>
        <n v="3200.0"/>
        <n v="1250.0"/>
        <n v="6000.0"/>
      </sharedItems>
    </cacheField>
    <cacheField name="SALES PRICE" numFmtId="4">
      <sharedItems containsSemiMixedTypes="0" containsString="0" containsNumber="1" containsInteger="1">
        <n v="2200.0"/>
        <n v="550.0"/>
        <n v="170.0"/>
        <n v="750.0"/>
        <n v="280.0"/>
        <n v="70.0"/>
        <n v="460.0"/>
        <n v="340.0"/>
        <n v="80.0"/>
        <n v="1140.0"/>
        <n v="800.0"/>
        <n v="120.0"/>
        <n v="1000.0"/>
        <n v="450.0"/>
        <n v="85.0"/>
        <n v="1400.0"/>
        <n v="400.0"/>
        <n v="150.0"/>
        <n v="900.0"/>
        <n v="110.0"/>
        <n v="350.0"/>
        <n v="160.0"/>
        <n v="3300.0"/>
        <n v="1100.0"/>
        <n v="200.0"/>
        <n v="700.0"/>
        <n v="190.0"/>
        <n v="2400.0"/>
        <n v="220.0"/>
        <n v="4400.0"/>
        <n v="300.0"/>
        <n v="3000.0"/>
        <n v="500.0"/>
        <n v="1450.0"/>
        <n v="180.0"/>
        <n v="1350.0"/>
        <n v="3200.0"/>
        <n v="4500.0"/>
        <n v="1600.0"/>
      </sharedItems>
    </cacheField>
    <cacheField name="discount" numFmtId="10">
      <sharedItems containsSemiMixedTypes="0" containsString="0" containsNumber="1">
        <n v="0.08333333333333333"/>
        <n v="0.15"/>
        <n v="0.0625"/>
        <n v="0.06666666666666667"/>
        <n v="0.3"/>
        <n v="0.08"/>
        <n v="0.2"/>
        <n v="0.05"/>
        <n v="0.1111111111111111"/>
        <n v="0.16666666666666666"/>
        <n v="0.5"/>
        <n v="0.125"/>
        <n v="0.3333333333333333"/>
        <n v="0.25"/>
        <n v="0.1"/>
        <n v="0.26666666666666666"/>
        <n v="0.2222222222222222"/>
        <n v="0.24"/>
        <n v="0.12"/>
        <n v="0.09375"/>
        <n v="0.28"/>
        <n v="0.15625"/>
      </sharedItems>
    </cacheField>
    <cacheField name="COST" numFmtId="4">
      <sharedItems containsSemiMixedTypes="0" containsString="0" containsNumber="1">
        <n v="1540.0"/>
        <n v="385.0"/>
        <n v="118.99999999999999"/>
        <n v="525.0"/>
        <n v="196.0"/>
        <n v="49.0"/>
        <n v="322.0"/>
        <n v="237.99999999999997"/>
        <n v="56.0"/>
        <n v="798.0"/>
        <n v="560.0"/>
        <n v="84.0"/>
        <n v="700.0"/>
        <n v="315.0"/>
        <n v="59.49999999999999"/>
        <n v="979.9999999999999"/>
        <n v="280.0"/>
        <n v="105.0"/>
        <n v="630.0"/>
        <n v="77.0"/>
        <n v="244.99999999999997"/>
        <n v="112.0"/>
        <n v="2310.0"/>
        <n v="770.0"/>
        <n v="140.0"/>
        <n v="489.99999999999994"/>
        <n v="133.0"/>
        <n v="1680.0"/>
        <n v="154.0"/>
        <n v="3080.0"/>
        <n v="210.0"/>
        <n v="2100.0"/>
        <n v="350.0"/>
        <n v="1014.9999999999999"/>
        <n v="125.99999999999999"/>
        <n v="944.9999999999999"/>
        <n v="2240.0"/>
        <n v="3150.0"/>
        <n v="1120.0"/>
      </sharedItems>
    </cacheField>
    <cacheField name="PROFIT" numFmtId="4">
      <sharedItems containsSemiMixedTypes="0" containsString="0" containsNumber="1">
        <n v="660.0"/>
        <n v="165.0"/>
        <n v="51.000000000000014"/>
        <n v="225.0"/>
        <n v="84.0"/>
        <n v="21.0"/>
        <n v="138.0"/>
        <n v="102.00000000000003"/>
        <n v="24.0"/>
        <n v="342.0"/>
        <n v="240.0"/>
        <n v="36.0"/>
        <n v="300.0"/>
        <n v="135.0"/>
        <n v="25.500000000000007"/>
        <n v="420.0000000000001"/>
        <n v="120.0"/>
        <n v="45.0"/>
        <n v="270.0"/>
        <n v="33.0"/>
        <n v="105.00000000000003"/>
        <n v="48.0"/>
        <n v="990.0"/>
        <n v="330.0"/>
        <n v="60.0"/>
        <n v="210.00000000000006"/>
        <n v="57.0"/>
        <n v="720.0"/>
        <n v="66.0"/>
        <n v="1320.0"/>
        <n v="90.0"/>
        <n v="900.0"/>
        <n v="150.0"/>
        <n v="435.0000000000001"/>
        <n v="54.000000000000014"/>
        <n v="405.0000000000001"/>
        <n v="960.0"/>
        <n v="1350.0"/>
        <n v="480.0"/>
      </sharedItems>
    </cacheField>
    <cacheField name="Status" numFmtId="0">
      <sharedItems>
        <s v="Delivered"/>
        <s v="Shipped"/>
        <s v="Processing"/>
      </sharedItems>
    </cacheField>
    <cacheField name="MARGIN" numFmtId="10">
      <sharedItems containsSemiMixedTypes="0" containsString="0" containsNumber="1">
        <n v="0.3"/>
        <n v="0.300000000000000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SALES PERFORMANCE DASHBOARD" cacheId="0" dataCaption="" rowGrandTotals="0" compact="0" compactData="0">
  <location ref="B15:C19"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sperson" compact="0" outline="0" multipleItemSelectionAllowed="1" showAll="0">
      <items>
        <item x="0"/>
        <item x="1"/>
        <item x="2"/>
        <item x="3"/>
        <item x="4"/>
        <item x="5"/>
        <item t="default"/>
      </items>
    </pivotField>
    <pivotField name="Region" axis="axisRow" compact="0" outline="0" multipleItemSelectionAllowed="1" showAll="0" sortType="ascending">
      <items>
        <item x="2"/>
        <item x="0"/>
        <item x="1"/>
        <item x="3"/>
        <item t="default"/>
      </items>
    </pivotField>
    <pivotField name="Product" compact="0" outline="0" multipleItemSelectionAllowed="1" showAll="0">
      <items>
        <item x="0"/>
        <item x="1"/>
        <item x="2"/>
        <item x="3"/>
        <item t="default"/>
      </items>
    </pivotField>
    <pivotField name="Sales Amount ()"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2"/>
  </rowFields>
  <dataFields>
    <dataField name="SUM of Sales Amount ()" fld="4" baseField="0"/>
  </dataFields>
</pivotTableDefinition>
</file>

<file path=xl/pivotTables/pivotTable2.xml><?xml version="1.0" encoding="utf-8"?>
<pivotTableDefinition xmlns="http://schemas.openxmlformats.org/spreadsheetml/2006/main" name="SALES PERFORMANCE DASHBOARD 2" cacheId="0" dataCaption="" rowGrandTotals="0" compact="0" compactData="0">
  <location ref="B35:C41" firstHeaderRow="0" firstDataRow="1"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alesperson" axis="axisRow" compact="0" outline="0" multipleItemSelectionAllowed="1" showAll="0" sortType="ascending">
      <items>
        <item x="0"/>
        <item x="3"/>
        <item x="1"/>
        <item x="4"/>
        <item x="5"/>
        <item x="2"/>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x="3"/>
        <item t="default"/>
      </items>
    </pivotField>
    <pivotField name="Sales Amount ()"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1"/>
  </rowFields>
  <dataFields>
    <dataField name="SUM of Sales Amount ()" fld="4" baseField="0"/>
  </dataFields>
</pivotTableDefinition>
</file>

<file path=xl/pivotTables/pivotTable3.xml><?xml version="1.0" encoding="utf-8"?>
<pivotTableDefinition xmlns="http://schemas.openxmlformats.org/spreadsheetml/2006/main" name="SALES PERFORMANCE DASHBOARD 3" cacheId="1" dataCaption="" rowGrandTotals="0" compact="0" compactData="0">
  <location ref="B66:C78" firstHeaderRow="0" firstDataRow="1" firstDataCol="0"/>
  <pivotFields>
    <pivotField name="Date" axis="axisRow" compact="0" numFmtId="164" outline="0" multipleItemSelectionAllowed="1" showAll="0" sortType="ascending">
      <items>
        <item x="0"/>
        <item x="1"/>
        <item x="2"/>
        <item x="3"/>
        <item x="4"/>
        <item x="5"/>
        <item x="6"/>
        <item x="7"/>
        <item x="8"/>
        <item x="9"/>
        <item x="10"/>
        <item x="11"/>
        <item x="12"/>
        <item x="13"/>
        <item t="default"/>
      </items>
    </pivotField>
    <pivotField name="Salesperson" compact="0" outline="0" multipleItemSelectionAllowed="1" showAll="0">
      <items>
        <item x="0"/>
        <item x="1"/>
        <item x="2"/>
        <item x="3"/>
        <item x="4"/>
        <item x="5"/>
        <item t="default"/>
      </items>
    </pivotField>
    <pivotField name="Region" compact="0" outline="0" multipleItemSelectionAllowed="1" showAll="0">
      <items>
        <item x="0"/>
        <item x="1"/>
        <item x="2"/>
        <item x="3"/>
        <item t="default"/>
      </items>
    </pivotField>
    <pivotField name="Product" compact="0" outline="0" multipleItemSelectionAllowed="1" showAll="0">
      <items>
        <item x="0"/>
        <item x="1"/>
        <item x="2"/>
        <item x="3"/>
        <item t="default"/>
      </items>
    </pivotField>
    <pivotField name="Sales Amount ()"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s>
  <rowFields>
    <field x="0"/>
  </rowFields>
  <dataFields>
    <dataField name="SUM of Sales Amount ()" fld="4" baseField="0"/>
  </dataFields>
</pivotTableDefinition>
</file>

<file path=xl/pivotTables/pivotTable4.xml><?xml version="1.0" encoding="utf-8"?>
<pivotTableDefinition xmlns="http://schemas.openxmlformats.org/spreadsheetml/2006/main" name="summary" cacheId="2" dataCaption="" rowGrandTotals="0" compact="0" compactData="0">
  <location ref="B10:C14"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rder Date"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axis="axisRow" compact="0" outline="0" multipleItemSelectionAllowed="1" showAll="0" sortType="ascending">
      <items>
        <item x="2"/>
        <item x="0"/>
        <item x="1"/>
        <item x="3"/>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Unit Price" compact="0" numFmtId="167" outline="0" multipleItemSelectionAllowed="1" showAll="0">
      <items>
        <item x="0"/>
        <item x="1"/>
        <item x="2"/>
        <item x="3"/>
        <item x="4"/>
        <item x="5"/>
        <item x="6"/>
        <item x="7"/>
        <item x="8"/>
        <item x="9"/>
        <item x="10"/>
        <item t="default"/>
      </items>
    </pivotField>
    <pivotField name="ORIGINAL PRICE" dataField="1" compact="0" numFmtId="16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scount" compact="0" numFmtId="1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S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OF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tus" compact="0" outline="0" multipleItemSelectionAllowed="1" showAll="0">
      <items>
        <item x="0"/>
        <item x="1"/>
        <item x="2"/>
        <item t="default"/>
      </items>
    </pivotField>
    <pivotField name="MARGIN" compact="0" numFmtId="10" outline="0" multipleItemSelectionAllowed="1" showAll="0">
      <items>
        <item x="0"/>
        <item x="1"/>
        <item t="default"/>
      </items>
    </pivotField>
  </pivotFields>
  <rowFields>
    <field x="3"/>
  </rowFields>
  <dataFields>
    <dataField name="SUM of ORIGINAL PRICE" fld="8" baseField="0"/>
  </dataFields>
</pivotTableDefinition>
</file>

<file path=xl/pivotTables/pivotTable5.xml><?xml version="1.0" encoding="utf-8"?>
<pivotTableDefinition xmlns="http://schemas.openxmlformats.org/spreadsheetml/2006/main" name="summary 2" cacheId="2" dataCaption="" rowGrandTotals="0" compact="0" compactData="0">
  <location ref="B19:C22"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rder Date"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x="0"/>
        <item x="1"/>
        <item x="2"/>
        <item t="default"/>
      </items>
    </pivotField>
    <pivotField name="Product" compact="0" outline="0" multipleItemSelectionAllowed="1" showAll="0">
      <items>
        <item x="0"/>
        <item x="1"/>
        <item x="2"/>
        <item x="3"/>
        <item x="4"/>
        <item x="5"/>
        <item x="6"/>
        <item x="7"/>
        <item x="8"/>
        <item x="9"/>
        <item x="10"/>
        <item x="11"/>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Unit Price" compact="0" numFmtId="167" outline="0" multipleItemSelectionAllowed="1" showAll="0">
      <items>
        <item x="0"/>
        <item x="1"/>
        <item x="2"/>
        <item x="3"/>
        <item x="4"/>
        <item x="5"/>
        <item x="6"/>
        <item x="7"/>
        <item x="8"/>
        <item x="9"/>
        <item x="10"/>
        <item t="default"/>
      </items>
    </pivotField>
    <pivotField name="ORIGINAL PRICE" compact="0" numFmtId="16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scount" compact="0" numFmtId="1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S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OFI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tus" compact="0" outline="0" multipleItemSelectionAllowed="1" showAll="0">
      <items>
        <item x="0"/>
        <item x="1"/>
        <item x="2"/>
        <item t="default"/>
      </items>
    </pivotField>
    <pivotField name="MARGIN" compact="0" numFmtId="10" outline="0" multipleItemSelectionAllowed="1" showAll="0">
      <items>
        <item x="0"/>
        <item x="1"/>
        <item t="default"/>
      </items>
    </pivotField>
  </pivotFields>
  <rowFields>
    <field x="4"/>
  </rowFields>
  <dataFields>
    <dataField name="SUM of PROFIT" fld="12" baseField="0"/>
  </dataFields>
</pivotTableDefinition>
</file>

<file path=xl/pivotTables/pivotTable6.xml><?xml version="1.0" encoding="utf-8"?>
<pivotTableDefinition xmlns="http://schemas.openxmlformats.org/spreadsheetml/2006/main" name="CHARTS" cacheId="2" dataCaption="" rowGrandTotals="0" compact="0" compactData="0">
  <location ref="B5:C9"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rder Date"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axis="axisRow" compact="0" outline="0" multipleItemSelectionAllowed="1" showAll="0" sortType="ascending">
      <items>
        <item x="2"/>
        <item x="0"/>
        <item x="1"/>
        <item x="3"/>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Unit Price" compact="0" numFmtId="167" outline="0" multipleItemSelectionAllowed="1" showAll="0">
      <items>
        <item x="0"/>
        <item x="1"/>
        <item x="2"/>
        <item x="3"/>
        <item x="4"/>
        <item x="5"/>
        <item x="6"/>
        <item x="7"/>
        <item x="8"/>
        <item x="9"/>
        <item x="10"/>
        <item t="default"/>
      </items>
    </pivotField>
    <pivotField name="ORIGINAL PRICE" compact="0" numFmtId="16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 PRIC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scount" compact="0" numFmtId="1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S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OF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tus" compact="0" outline="0" multipleItemSelectionAllowed="1" showAll="0">
      <items>
        <item x="0"/>
        <item x="1"/>
        <item x="2"/>
        <item t="default"/>
      </items>
    </pivotField>
    <pivotField name="MARGIN" compact="0" numFmtId="10" outline="0" multipleItemSelectionAllowed="1" showAll="0">
      <items>
        <item x="0"/>
        <item x="1"/>
        <item t="default"/>
      </items>
    </pivotField>
  </pivotFields>
  <rowFields>
    <field x="3"/>
  </rowFields>
  <dataFields>
    <dataField name="SUM of SALES PRICE" fld="9" baseField="0"/>
  </dataFields>
</pivotTableDefinition>
</file>

<file path=xl/pivotTables/pivotTable7.xml><?xml version="1.0" encoding="utf-8"?>
<pivotTableDefinition xmlns="http://schemas.openxmlformats.org/spreadsheetml/2006/main" name="CHARTS 2" cacheId="2" dataCaption="" rowGrandTotals="0" compact="0" compactData="0">
  <location ref="L5:M8"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rder Date" compact="0" numFmtId="16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Category" axis="axisRow" compact="0" outline="0" multipleItemSelectionAllowed="1" showAll="0" sortType="ascending">
      <items>
        <item x="0"/>
        <item x="1"/>
        <item x="2"/>
        <item t="default"/>
      </items>
    </pivotField>
    <pivotField name="Product" compact="0" outline="0" multipleItemSelectionAllowed="1" showAll="0">
      <items>
        <item x="0"/>
        <item x="1"/>
        <item x="2"/>
        <item x="3"/>
        <item x="4"/>
        <item x="5"/>
        <item x="6"/>
        <item x="7"/>
        <item x="8"/>
        <item x="9"/>
        <item x="10"/>
        <item x="11"/>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Unit Price" compact="0" numFmtId="167" outline="0" multipleItemSelectionAllowed="1" showAll="0">
      <items>
        <item x="0"/>
        <item x="1"/>
        <item x="2"/>
        <item x="3"/>
        <item x="4"/>
        <item x="5"/>
        <item x="6"/>
        <item x="7"/>
        <item x="8"/>
        <item x="9"/>
        <item x="10"/>
        <item t="default"/>
      </items>
    </pivotField>
    <pivotField name="ORIGINAL PRICE" dataField="1" compact="0" numFmtId="16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scount" compact="0" numFmtId="1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S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OF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tus" compact="0" outline="0" multipleItemSelectionAllowed="1" showAll="0">
      <items>
        <item x="0"/>
        <item x="1"/>
        <item x="2"/>
        <item t="default"/>
      </items>
    </pivotField>
    <pivotField name="MARGIN" compact="0" numFmtId="10" outline="0" multipleItemSelectionAllowed="1" showAll="0">
      <items>
        <item x="0"/>
        <item x="1"/>
        <item t="default"/>
      </items>
    </pivotField>
  </pivotFields>
  <rowFields>
    <field x="4"/>
  </rowFields>
  <dataFields>
    <dataField name="SUM of ORIGINAL PRICE" fld="8" baseField="0"/>
  </dataFields>
</pivotTableDefinition>
</file>

<file path=xl/pivotTables/pivotTable8.xml><?xml version="1.0" encoding="utf-8"?>
<pivotTableDefinition xmlns="http://schemas.openxmlformats.org/spreadsheetml/2006/main" name="CHARTS 3" cacheId="3" dataCaption="" rowGrandTotals="0" compact="0" compactData="0">
  <location ref="B27:C29" firstHeaderRow="0" firstDataRow="1"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rder Date" axis="axisRow" compact="0" numFmtId="169" outline="0" multipleItemSelectionAllowed="1" showAll="0" sortType="ascending">
      <items>
        <item x="0"/>
        <item x="1"/>
        <item x="2"/>
        <item x="3"/>
        <item x="4"/>
        <item x="5"/>
        <item x="6"/>
        <item x="7"/>
        <item x="8"/>
        <item x="9"/>
        <item x="10"/>
        <item x="11"/>
        <item x="12"/>
        <item x="1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Unit Price" compact="0" numFmtId="167" outline="0" multipleItemSelectionAllowed="1" showAll="0">
      <items>
        <item x="0"/>
        <item x="1"/>
        <item x="2"/>
        <item x="3"/>
        <item x="4"/>
        <item x="5"/>
        <item x="6"/>
        <item x="7"/>
        <item x="8"/>
        <item x="9"/>
        <item x="10"/>
        <item t="default"/>
      </items>
    </pivotField>
    <pivotField name="ORIGINAL PRICE" dataField="1" compact="0" numFmtId="16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 PRICE"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scount" compact="0" numFmtId="1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S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OF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tus" compact="0" outline="0" multipleItemSelectionAllowed="1" showAll="0">
      <items>
        <item x="0"/>
        <item x="1"/>
        <item x="2"/>
        <item t="default"/>
      </items>
    </pivotField>
    <pivotField name="MARGIN" compact="0" numFmtId="10" outline="0" multipleItemSelectionAllowed="1" showAll="0">
      <items>
        <item x="0"/>
        <item x="1"/>
        <item t="default"/>
      </items>
    </pivotField>
  </pivotFields>
  <rowFields>
    <field x="1"/>
  </rowFields>
  <dataFields>
    <dataField name="SUM of ORIGINAL PRICE" fld="8" baseField="0"/>
  </dataFields>
</pivotTableDefinition>
</file>

<file path=xl/pivotTables/pivotTable9.xml><?xml version="1.0" encoding="utf-8"?>
<pivotTableDefinition xmlns="http://schemas.openxmlformats.org/spreadsheetml/2006/main" name="CHARTS 4" cacheId="4" dataCaption="" rowGrandTotals="0" compact="0" compactData="0">
  <location ref="A49:C53" firstHeaderRow="0" firstDataRow="2" firstDataCol="0"/>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Order Date" axis="axisRow" compact="0" numFmtId="169" outline="0" multipleItemSelectionAllowed="1" showAll="0" sortType="ascending" defaultSubtotal="0">
      <items>
        <item x="0"/>
        <item x="1"/>
        <item x="2"/>
        <item x="3"/>
        <item x="4"/>
        <item x="5"/>
        <item x="6"/>
        <item x="7"/>
        <item x="8"/>
        <item x="9"/>
        <item x="10"/>
        <item x="11"/>
        <item x="12"/>
        <item x="13"/>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Region" compact="0" outline="0" multipleItemSelectionAllowed="1" showAll="0">
      <items>
        <item x="0"/>
        <item x="1"/>
        <item x="2"/>
        <item x="3"/>
        <item t="default"/>
      </items>
    </pivotField>
    <pivotField name="Category" compact="0" outline="0" multipleItemSelectionAllowed="1" showAll="0">
      <items>
        <item x="0"/>
        <item x="1"/>
        <item x="2"/>
        <item t="default"/>
      </items>
    </pivotField>
    <pivotField name="Product" compact="0" outline="0" multipleItemSelectionAllowed="1" showAll="0">
      <items>
        <item x="0"/>
        <item x="1"/>
        <item x="2"/>
        <item x="3"/>
        <item x="4"/>
        <item x="5"/>
        <item x="6"/>
        <item x="7"/>
        <item x="8"/>
        <item x="9"/>
        <item x="10"/>
        <item x="11"/>
        <item t="default"/>
      </items>
    </pivotField>
    <pivotField name="Quantity" compact="0" outline="0" multipleItemSelectionAllowed="1" showAll="0">
      <items>
        <item x="0"/>
        <item x="1"/>
        <item x="2"/>
        <item x="3"/>
        <item x="4"/>
        <item x="5"/>
        <item x="6"/>
        <item x="7"/>
        <item x="8"/>
        <item x="9"/>
        <item x="10"/>
        <item x="11"/>
        <item x="12"/>
        <item x="13"/>
        <item x="14"/>
        <item x="15"/>
        <item x="16"/>
        <item x="17"/>
        <item t="default"/>
      </items>
    </pivotField>
    <pivotField name="Unit Price" compact="0" numFmtId="167" outline="0" multipleItemSelectionAllowed="1" showAll="0">
      <items>
        <item x="0"/>
        <item x="1"/>
        <item x="2"/>
        <item x="3"/>
        <item x="4"/>
        <item x="5"/>
        <item x="6"/>
        <item x="7"/>
        <item x="8"/>
        <item x="9"/>
        <item x="10"/>
        <item t="default"/>
      </items>
    </pivotField>
    <pivotField name="ORIGINAL PRICE" compact="0" numFmtId="167"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SALES PRICE"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iscount" compact="0" numFmtId="1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COS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PROFIT"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Status" compact="0" outline="0" multipleItemSelectionAllowed="1" showAll="0">
      <items>
        <item x="0"/>
        <item x="1"/>
        <item x="2"/>
        <item t="default"/>
      </items>
    </pivotField>
    <pivotField name="MARGIN" axis="axisRow" compact="0" numFmtId="10" outline="0" multipleItemSelectionAllowed="1" showAll="0" sortType="ascending">
      <items>
        <item x="0"/>
        <item x="1"/>
        <item t="default"/>
      </items>
    </pivotField>
  </pivotFields>
  <rowFields>
    <field x="1"/>
    <field x="14"/>
  </rowFields>
  <dataFields>
    <dataField name="SUM of SALES PRICE" fld="9"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Region">
  <x14:extLst>
    <ext uri="{2F2917AC-EB37-4324-AD4E-5DD8C200BD13}">
      <x15:tableSlicerCache tableId="2"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Salesperson">
  <x14:extLst>
    <ext uri="{2F2917AC-EB37-4324-AD4E-5DD8C200BD13}">
      <x15:tableSlicerCache tableId="3"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Date - Month">
  <x14:extLst>
    <ext uri="{2F2917AC-EB37-4324-AD4E-5DD8C200BD13}">
      <x15:tableSlicerCache tableId="4"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9_Col_1" sourceName="Region">
  <x14:extLst>
    <ext uri="{2F2917AC-EB37-4324-AD4E-5DD8C200BD13}">
      <x15:tableSlicerCache tableId="9" column="1"/>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0_Col_1" sourceName="Order Date - Month">
  <x14:extLst>
    <ext uri="{2F2917AC-EB37-4324-AD4E-5DD8C200BD13}">
      <x15:tableSlicerCache tableId="10"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2_Col_1" caption="Region" rowHeight="247650"/>
  <x14:slicer name="Date - Month_2" cache="SlicerCache_Table_4_Col_1" caption="Date - Month" rowHeight="247650"/>
  <x14:slicer name="Salesperson_3" cache="SlicerCache_Table_3_Col_1" caption="Salesperso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4" cache="SlicerCache_Table_9_Col_1" caption="Region" rowHeight="247650"/>
  <x14:slicer name="Order Date - Month_5" cache="SlicerCache_Table_10_Col_1" caption="Order Date - Month"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6" cache="SlicerCache_Table_9_Col_1" caption="Region" rowHeight="247650"/>
  <x14:slicer name="Order Date - Month_7" cache="SlicerCache_Table_10_Col_1" caption="Order Date - Month" rowHeight="247650"/>
</x14:slicers>
</file>

<file path=xl/tables/table1.xml><?xml version="1.0" encoding="utf-8"?>
<table xmlns="http://schemas.openxmlformats.org/spreadsheetml/2006/main" ref="A1:E49" displayName="Table1" name="Table1" id="1">
  <tableColumns count="5">
    <tableColumn name="Date" id="1"/>
    <tableColumn name="Salesperson" id="2"/>
    <tableColumn name="Region" id="3"/>
    <tableColumn name="Product" id="4"/>
    <tableColumn name="Sales Amount ()" id="5"/>
  </tableColumns>
  <tableStyleInfo name="SALES DATA-style" showColumnStripes="0" showFirstColumn="1" showLastColumn="1" showRowStripes="1"/>
</table>
</file>

<file path=xl/tables/table2.xml><?xml version="1.0" encoding="utf-8"?>
<table xmlns="http://schemas.openxmlformats.org/spreadsheetml/2006/main" ref="B15:C20" displayName="Table_1" name="Table_1" id="2">
  <autoFilter ref="$B$15:$C$20"/>
  <tableColumns count="2">
    <tableColumn name="Region" id="1"/>
    <tableColumn name="SUM of Sales Amount ()" id="2"/>
  </tableColumns>
  <tableStyleInfo showColumnStripes="0" showFirstColumn="0" showLastColumn="0" showRowStripes="0"/>
</table>
</file>

<file path=xl/tables/table3.xml><?xml version="1.0" encoding="utf-8"?>
<table xmlns="http://schemas.openxmlformats.org/spreadsheetml/2006/main" ref="B35:C41" displayName="Table_2" name="Table_2" id="3">
  <autoFilter ref="$B$35:$C$41"/>
  <tableColumns count="2">
    <tableColumn name="Salesperson" id="1"/>
    <tableColumn name="SUM of Sales Amount ()" id="2"/>
  </tableColumns>
  <tableStyleInfo showColumnStripes="0" showFirstColumn="0" showLastColumn="0" showRowStripes="0"/>
</table>
</file>

<file path=xl/tables/table4.xml><?xml version="1.0" encoding="utf-8"?>
<table xmlns="http://schemas.openxmlformats.org/spreadsheetml/2006/main" ref="B66:C78" displayName="Table_3" name="Table_3" id="4">
  <autoFilter ref="$B$66:$C$78"/>
  <tableColumns count="2">
    <tableColumn name="Date - Month" id="1"/>
    <tableColumn name="SUM of Sales Amount ()" id="2"/>
  </tableColumns>
  <tableStyleInfo showColumnStripes="0" showFirstColumn="0" showLastColumn="0" showRowStripes="0"/>
</table>
</file>

<file path=xl/tables/table5.xml><?xml version="1.0" encoding="utf-8"?>
<table xmlns="http://schemas.openxmlformats.org/spreadsheetml/2006/main" ref="L57:M61" displayName="Table_4" name="Table_4" id="5">
  <tableColumns count="2">
    <tableColumn name="Metric" id="1"/>
    <tableColumn name="Trend" id="2"/>
  </tableColumns>
  <tableStyleInfo name="DASHBOARD-style" showColumnStripes="0" showFirstColumn="1" showLastColumn="1" showRowStripes="1"/>
</table>
</file>

<file path=xl/tables/table6.xml><?xml version="1.0" encoding="utf-8"?>
<table xmlns="http://schemas.openxmlformats.org/spreadsheetml/2006/main" ref="I27:J31" displayName="Table_5" name="Table_5" id="6">
  <tableColumns count="2">
    <tableColumn name="Region" id="1"/>
    <tableColumn name="Avg Salary" id="2"/>
  </tableColumns>
  <tableStyleInfo name="HR Analytics-style" showColumnStripes="0" showFirstColumn="1" showLastColumn="1" showRowStripes="1"/>
</table>
</file>

<file path=xl/tables/table7.xml><?xml version="1.0" encoding="utf-8"?>
<table xmlns="http://schemas.openxmlformats.org/spreadsheetml/2006/main" ref="A1:O51" displayName="SalesData" name="SalesData" id="7">
  <tableColumns count="15">
    <tableColumn name="Order ID" id="1"/>
    <tableColumn name="Order Date" id="2"/>
    <tableColumn name="Customer Name" id="3"/>
    <tableColumn name="Region" id="4"/>
    <tableColumn name="Category" id="5"/>
    <tableColumn name="Product" id="6"/>
    <tableColumn name="Quantity" id="7"/>
    <tableColumn name="Unit Price" id="8"/>
    <tableColumn name="ORIGINAL PRICE" id="9"/>
    <tableColumn name="SALES PRICE" id="10"/>
    <tableColumn name="discount" id="11"/>
    <tableColumn name="COST" id="12"/>
    <tableColumn name="PROFIT" id="13"/>
    <tableColumn name="Status" id="14"/>
    <tableColumn name="MARGIN" id="15"/>
  </tableColumns>
  <tableStyleInfo name="data-style" showColumnStripes="0" showFirstColumn="1" showLastColumn="1" showRowStripes="1"/>
</table>
</file>

<file path=xl/tables/table8.xml><?xml version="1.0" encoding="utf-8"?>
<table xmlns="http://schemas.openxmlformats.org/spreadsheetml/2006/main" headerRowCount="0" ref="B2:C5" displayName="Table_6" name="Table_6" id="8">
  <tableColumns count="2">
    <tableColumn name="Column1" id="1"/>
    <tableColumn name="Column2" id="2"/>
  </tableColumns>
  <tableStyleInfo name="summary-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B5:C9" displayName="Table_7" name="Table_7" id="9">
  <autoFilter ref="$B$5:$C$9"/>
  <tableColumns count="2">
    <tableColumn name="Region" id="1"/>
    <tableColumn name="SUM of SALES PRICE" id="2"/>
  </tableColumns>
  <tableStyleInfo showColumnStripes="0" showFirstColumn="0" showLastColumn="0" showRowStripes="0"/>
</table>
</file>

<file path=xl/tables/table10.xml><?xml version="1.0" encoding="utf-8"?>
<table xmlns="http://schemas.openxmlformats.org/spreadsheetml/2006/main" ref="B27:C29" displayName="Table_8" name="Table_8" id="10">
  <autoFilter ref="$B$27:$C$29"/>
  <tableColumns count="2">
    <tableColumn name="Order Date - Month" id="1"/>
    <tableColumn name="SUM of ORIGINAL PRICE" id="2"/>
  </tableColumns>
  <tableStyleInfo showColumnStripes="0" showFirstColumn="0" showLastColumn="0" showRowStripes="0"/>
</table>
</file>

<file path=xl/tables/table11.xml><?xml version="1.0" encoding="utf-8"?>
<table xmlns="http://schemas.openxmlformats.org/spreadsheetml/2006/main" ref="B6:E7" displayName="Table_9" name="Table_9" id="11">
  <tableColumns count="4">
    <tableColumn name="TOTAL SALES" id="1"/>
    <tableColumn name="TOTAL PROFIT" id="2"/>
    <tableColumn name="TOTAL ORDERS" id="3"/>
    <tableColumn name="TOP REGION" id="4"/>
  </tableColumns>
  <tableStyleInfo name="DASHBOARD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Open Sans"/>
        <a:ea typeface="Open Sans"/>
        <a:cs typeface="Open Sans"/>
      </a:majorFont>
      <a:minorFont>
        <a:latin typeface="Open Sans"/>
        <a:ea typeface="Open Sans"/>
        <a:cs typeface="Open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11" Type="http://schemas.microsoft.com/office/2007/relationships/slicer" Target="../slicers/slicer1.xml"/><Relationship Id="rId10" Type="http://schemas.openxmlformats.org/officeDocument/2006/relationships/table" Target="../tables/table4.xml"/><Relationship Id="rId9" Type="http://schemas.openxmlformats.org/officeDocument/2006/relationships/table" Target="../tables/table3.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pivotTable" Target="../pivotTables/pivotTable5.xml"/><Relationship Id="rId3" Type="http://schemas.openxmlformats.org/officeDocument/2006/relationships/drawing" Target="../drawings/drawing8.xml"/><Relationship Id="rId5"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10" Type="http://schemas.microsoft.com/office/2007/relationships/slicer" Target="../slicers/slicer2.xml"/><Relationship Id="rId9" Type="http://schemas.openxmlformats.org/officeDocument/2006/relationships/table" Target="../tables/table10.xml"/><Relationship Id="rId5" Type="http://schemas.openxmlformats.org/officeDocument/2006/relationships/drawing" Target="../drawings/drawing10.xml"/><Relationship Id="rId8"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2" max="2" width="16.71"/>
    <col customWidth="1" min="5" max="5" width="23.57"/>
  </cols>
  <sheetData>
    <row r="1" ht="22.5" customHeight="1">
      <c r="A1" s="1" t="s">
        <v>0</v>
      </c>
      <c r="B1" s="1" t="s">
        <v>1</v>
      </c>
      <c r="C1" s="1" t="s">
        <v>2</v>
      </c>
      <c r="D1" s="1" t="s">
        <v>3</v>
      </c>
      <c r="E1" s="2" t="s">
        <v>4</v>
      </c>
    </row>
    <row r="2" ht="22.5" customHeight="1">
      <c r="A2" s="3">
        <v>45296.0</v>
      </c>
      <c r="B2" s="4" t="s">
        <v>5</v>
      </c>
      <c r="C2" s="4" t="s">
        <v>6</v>
      </c>
      <c r="D2" s="4" t="s">
        <v>7</v>
      </c>
      <c r="E2" s="5">
        <v>85000.0</v>
      </c>
    </row>
    <row r="3" ht="22.5" customHeight="1">
      <c r="A3" s="3">
        <v>45303.0</v>
      </c>
      <c r="B3" s="4" t="s">
        <v>8</v>
      </c>
      <c r="C3" s="4" t="s">
        <v>9</v>
      </c>
      <c r="D3" s="4" t="s">
        <v>10</v>
      </c>
      <c r="E3" s="5">
        <v>32000.0</v>
      </c>
    </row>
    <row r="4" ht="22.5" customHeight="1">
      <c r="A4" s="3">
        <v>45309.0</v>
      </c>
      <c r="B4" s="4" t="s">
        <v>11</v>
      </c>
      <c r="C4" s="4" t="s">
        <v>12</v>
      </c>
      <c r="D4" s="4" t="s">
        <v>13</v>
      </c>
      <c r="E4" s="5">
        <v>28000.0</v>
      </c>
    </row>
    <row r="5" ht="22.5" customHeight="1">
      <c r="A5" s="3">
        <v>45316.0</v>
      </c>
      <c r="B5" s="4" t="s">
        <v>14</v>
      </c>
      <c r="C5" s="4" t="s">
        <v>15</v>
      </c>
      <c r="D5" s="4" t="s">
        <v>7</v>
      </c>
      <c r="E5" s="5">
        <v>92000.0</v>
      </c>
    </row>
    <row r="6" ht="22.5" customHeight="1">
      <c r="A6" s="3">
        <v>45325.0</v>
      </c>
      <c r="B6" s="4" t="s">
        <v>16</v>
      </c>
      <c r="C6" s="4" t="s">
        <v>6</v>
      </c>
      <c r="D6" s="4" t="s">
        <v>10</v>
      </c>
      <c r="E6" s="5">
        <v>45000.0</v>
      </c>
    </row>
    <row r="7" ht="22.5" customHeight="1">
      <c r="A7" s="3">
        <v>45332.0</v>
      </c>
      <c r="B7" s="4" t="s">
        <v>17</v>
      </c>
      <c r="C7" s="4" t="s">
        <v>9</v>
      </c>
      <c r="D7" s="4" t="s">
        <v>18</v>
      </c>
      <c r="E7" s="5">
        <v>18000.0</v>
      </c>
    </row>
    <row r="8" ht="22.5" customHeight="1">
      <c r="A8" s="3">
        <v>45339.0</v>
      </c>
      <c r="B8" s="4" t="s">
        <v>5</v>
      </c>
      <c r="C8" s="4" t="s">
        <v>12</v>
      </c>
      <c r="D8" s="4" t="s">
        <v>7</v>
      </c>
      <c r="E8" s="5">
        <v>78000.0</v>
      </c>
    </row>
    <row r="9" ht="22.5" customHeight="1">
      <c r="A9" s="3">
        <v>45344.0</v>
      </c>
      <c r="B9" s="4" t="s">
        <v>8</v>
      </c>
      <c r="C9" s="4" t="s">
        <v>15</v>
      </c>
      <c r="D9" s="4" t="s">
        <v>13</v>
      </c>
      <c r="E9" s="5">
        <v>35000.0</v>
      </c>
    </row>
    <row r="10" ht="22.5" customHeight="1">
      <c r="A10" s="3">
        <v>45355.0</v>
      </c>
      <c r="B10" s="4" t="s">
        <v>11</v>
      </c>
      <c r="C10" s="4" t="s">
        <v>6</v>
      </c>
      <c r="D10" s="4" t="s">
        <v>10</v>
      </c>
      <c r="E10" s="5">
        <v>52000.0</v>
      </c>
    </row>
    <row r="11" ht="22.5" customHeight="1">
      <c r="A11" s="3">
        <v>45362.0</v>
      </c>
      <c r="B11" s="4" t="s">
        <v>14</v>
      </c>
      <c r="C11" s="4" t="s">
        <v>9</v>
      </c>
      <c r="D11" s="4" t="s">
        <v>7</v>
      </c>
      <c r="E11" s="5">
        <v>96000.0</v>
      </c>
    </row>
    <row r="12" ht="22.5" customHeight="1">
      <c r="A12" s="3">
        <v>45370.0</v>
      </c>
      <c r="B12" s="4" t="s">
        <v>16</v>
      </c>
      <c r="C12" s="4" t="s">
        <v>12</v>
      </c>
      <c r="D12" s="4" t="s">
        <v>18</v>
      </c>
      <c r="E12" s="5">
        <v>22000.0</v>
      </c>
    </row>
    <row r="13" ht="22.5" customHeight="1">
      <c r="A13" s="3">
        <v>45377.0</v>
      </c>
      <c r="B13" s="4" t="s">
        <v>17</v>
      </c>
      <c r="C13" s="4" t="s">
        <v>15</v>
      </c>
      <c r="D13" s="4" t="s">
        <v>13</v>
      </c>
      <c r="E13" s="5">
        <v>41000.0</v>
      </c>
    </row>
    <row r="14" ht="22.5" customHeight="1">
      <c r="A14" s="3">
        <v>45384.0</v>
      </c>
      <c r="B14" s="4" t="s">
        <v>5</v>
      </c>
      <c r="C14" s="4" t="s">
        <v>9</v>
      </c>
      <c r="D14" s="4" t="s">
        <v>10</v>
      </c>
      <c r="E14" s="5">
        <v>38000.0</v>
      </c>
    </row>
    <row r="15" ht="22.5" customHeight="1">
      <c r="A15" s="3">
        <v>45391.0</v>
      </c>
      <c r="B15" s="4" t="s">
        <v>8</v>
      </c>
      <c r="C15" s="4" t="s">
        <v>6</v>
      </c>
      <c r="D15" s="4" t="s">
        <v>7</v>
      </c>
      <c r="E15" s="5">
        <v>88000.0</v>
      </c>
    </row>
    <row r="16" ht="22.5" customHeight="1">
      <c r="A16" s="3">
        <v>45397.0</v>
      </c>
      <c r="B16" s="4" t="s">
        <v>11</v>
      </c>
      <c r="C16" s="4" t="s">
        <v>15</v>
      </c>
      <c r="D16" s="4" t="s">
        <v>18</v>
      </c>
      <c r="E16" s="5">
        <v>25000.0</v>
      </c>
    </row>
    <row r="17" ht="22.5" customHeight="1">
      <c r="A17" s="3">
        <v>45405.0</v>
      </c>
      <c r="B17" s="4" t="s">
        <v>14</v>
      </c>
      <c r="C17" s="4" t="s">
        <v>12</v>
      </c>
      <c r="D17" s="4" t="s">
        <v>10</v>
      </c>
      <c r="E17" s="5">
        <v>47000.0</v>
      </c>
    </row>
    <row r="18" ht="22.5" customHeight="1">
      <c r="A18" s="6">
        <v>45418.0</v>
      </c>
      <c r="B18" s="4" t="s">
        <v>16</v>
      </c>
      <c r="C18" s="4" t="s">
        <v>9</v>
      </c>
      <c r="D18" s="4" t="s">
        <v>7</v>
      </c>
      <c r="E18" s="5">
        <v>74000.0</v>
      </c>
    </row>
    <row r="19" ht="22.5" customHeight="1">
      <c r="A19" s="6">
        <v>45425.0</v>
      </c>
      <c r="B19" s="4" t="s">
        <v>17</v>
      </c>
      <c r="C19" s="4" t="s">
        <v>6</v>
      </c>
      <c r="D19" s="4" t="s">
        <v>13</v>
      </c>
      <c r="E19" s="5">
        <v>33000.0</v>
      </c>
    </row>
    <row r="20" ht="22.5" customHeight="1">
      <c r="A20" s="6">
        <v>45432.0</v>
      </c>
      <c r="B20" s="4" t="s">
        <v>5</v>
      </c>
      <c r="C20" s="4" t="s">
        <v>15</v>
      </c>
      <c r="D20" s="4" t="s">
        <v>10</v>
      </c>
      <c r="E20" s="5">
        <v>56000.0</v>
      </c>
    </row>
    <row r="21" ht="22.5" customHeight="1">
      <c r="A21" s="6">
        <v>45439.0</v>
      </c>
      <c r="B21" s="4" t="s">
        <v>8</v>
      </c>
      <c r="C21" s="4" t="s">
        <v>12</v>
      </c>
      <c r="D21" s="4" t="s">
        <v>18</v>
      </c>
      <c r="E21" s="5">
        <v>19000.0</v>
      </c>
    </row>
    <row r="22" ht="22.5" customHeight="1">
      <c r="A22" s="3">
        <v>45446.0</v>
      </c>
      <c r="B22" s="4" t="s">
        <v>11</v>
      </c>
      <c r="C22" s="4" t="s">
        <v>9</v>
      </c>
      <c r="D22" s="4" t="s">
        <v>7</v>
      </c>
      <c r="E22" s="5">
        <v>82000.0</v>
      </c>
    </row>
    <row r="23" ht="22.5" customHeight="1">
      <c r="A23" s="3">
        <v>45453.0</v>
      </c>
      <c r="B23" s="4" t="s">
        <v>14</v>
      </c>
      <c r="C23" s="4" t="s">
        <v>6</v>
      </c>
      <c r="D23" s="4" t="s">
        <v>13</v>
      </c>
      <c r="E23" s="5">
        <v>44000.0</v>
      </c>
    </row>
    <row r="24" ht="22.5" customHeight="1">
      <c r="A24" s="3">
        <v>45461.0</v>
      </c>
      <c r="B24" s="4" t="s">
        <v>16</v>
      </c>
      <c r="C24" s="4" t="s">
        <v>15</v>
      </c>
      <c r="D24" s="4" t="s">
        <v>10</v>
      </c>
      <c r="E24" s="5">
        <v>61000.0</v>
      </c>
    </row>
    <row r="25" ht="22.5" customHeight="1">
      <c r="A25" s="3">
        <v>45468.0</v>
      </c>
      <c r="B25" s="4" t="s">
        <v>17</v>
      </c>
      <c r="C25" s="4" t="s">
        <v>12</v>
      </c>
      <c r="D25" s="4" t="s">
        <v>7</v>
      </c>
      <c r="E25" s="5">
        <v>91000.0</v>
      </c>
    </row>
    <row r="26" ht="22.5" customHeight="1">
      <c r="A26" s="3">
        <v>45475.0</v>
      </c>
      <c r="B26" s="4" t="s">
        <v>5</v>
      </c>
      <c r="C26" s="4" t="s">
        <v>6</v>
      </c>
      <c r="D26" s="4" t="s">
        <v>18</v>
      </c>
      <c r="E26" s="5">
        <v>27000.0</v>
      </c>
    </row>
    <row r="27" ht="22.5" customHeight="1">
      <c r="A27" s="3">
        <v>45482.0</v>
      </c>
      <c r="B27" s="4" t="s">
        <v>8</v>
      </c>
      <c r="C27" s="4" t="s">
        <v>9</v>
      </c>
      <c r="D27" s="4" t="s">
        <v>7</v>
      </c>
      <c r="E27" s="5">
        <v>95000.0</v>
      </c>
    </row>
    <row r="28" ht="22.5" customHeight="1">
      <c r="A28" s="3">
        <v>45489.0</v>
      </c>
      <c r="B28" s="4" t="s">
        <v>11</v>
      </c>
      <c r="C28" s="4" t="s">
        <v>12</v>
      </c>
      <c r="D28" s="4" t="s">
        <v>10</v>
      </c>
      <c r="E28" s="5">
        <v>43000.0</v>
      </c>
    </row>
    <row r="29" ht="22.5" customHeight="1">
      <c r="A29" s="3">
        <v>45496.0</v>
      </c>
      <c r="B29" s="4" t="s">
        <v>14</v>
      </c>
      <c r="C29" s="4" t="s">
        <v>15</v>
      </c>
      <c r="D29" s="4" t="s">
        <v>13</v>
      </c>
      <c r="E29" s="5">
        <v>38000.0</v>
      </c>
    </row>
    <row r="30" ht="22.5" customHeight="1">
      <c r="A30" s="3">
        <v>45509.0</v>
      </c>
      <c r="B30" s="4" t="s">
        <v>16</v>
      </c>
      <c r="C30" s="4" t="s">
        <v>6</v>
      </c>
      <c r="D30" s="4" t="s">
        <v>7</v>
      </c>
      <c r="E30" s="5">
        <v>87000.0</v>
      </c>
    </row>
    <row r="31" ht="22.5" customHeight="1">
      <c r="A31" s="3">
        <v>45516.0</v>
      </c>
      <c r="B31" s="4" t="s">
        <v>17</v>
      </c>
      <c r="C31" s="4" t="s">
        <v>9</v>
      </c>
      <c r="D31" s="4" t="s">
        <v>10</v>
      </c>
      <c r="E31" s="5">
        <v>49000.0</v>
      </c>
    </row>
    <row r="32" ht="22.5" customHeight="1">
      <c r="A32" s="3">
        <v>45523.0</v>
      </c>
      <c r="B32" s="4" t="s">
        <v>5</v>
      </c>
      <c r="C32" s="4" t="s">
        <v>12</v>
      </c>
      <c r="D32" s="4" t="s">
        <v>13</v>
      </c>
      <c r="E32" s="5">
        <v>36000.0</v>
      </c>
    </row>
    <row r="33" ht="22.5" customHeight="1">
      <c r="A33" s="3">
        <v>45530.0</v>
      </c>
      <c r="B33" s="4" t="s">
        <v>8</v>
      </c>
      <c r="C33" s="4" t="s">
        <v>15</v>
      </c>
      <c r="D33" s="4" t="s">
        <v>7</v>
      </c>
      <c r="E33" s="5">
        <v>93000.0</v>
      </c>
    </row>
    <row r="34" ht="22.5" customHeight="1">
      <c r="A34" s="3">
        <v>45538.0</v>
      </c>
      <c r="B34" s="4" t="s">
        <v>11</v>
      </c>
      <c r="C34" s="4" t="s">
        <v>6</v>
      </c>
      <c r="D34" s="4" t="s">
        <v>18</v>
      </c>
      <c r="E34" s="5">
        <v>31000.0</v>
      </c>
    </row>
    <row r="35" ht="22.5" customHeight="1">
      <c r="A35" s="3">
        <v>45545.0</v>
      </c>
      <c r="B35" s="4" t="s">
        <v>14</v>
      </c>
      <c r="C35" s="4" t="s">
        <v>9</v>
      </c>
      <c r="D35" s="4" t="s">
        <v>10</v>
      </c>
      <c r="E35" s="5">
        <v>55000.0</v>
      </c>
    </row>
    <row r="36" ht="22.5" customHeight="1">
      <c r="A36" s="3">
        <v>45552.0</v>
      </c>
      <c r="B36" s="4" t="s">
        <v>16</v>
      </c>
      <c r="C36" s="4" t="s">
        <v>12</v>
      </c>
      <c r="D36" s="4" t="s">
        <v>7</v>
      </c>
      <c r="E36" s="5">
        <v>79000.0</v>
      </c>
    </row>
    <row r="37" ht="22.5" customHeight="1">
      <c r="A37" s="3">
        <v>45559.0</v>
      </c>
      <c r="B37" s="4" t="s">
        <v>17</v>
      </c>
      <c r="C37" s="4" t="s">
        <v>15</v>
      </c>
      <c r="D37" s="4" t="s">
        <v>13</v>
      </c>
      <c r="E37" s="5">
        <v>42000.0</v>
      </c>
    </row>
    <row r="38" ht="22.5" customHeight="1">
      <c r="A38" s="3">
        <v>45566.0</v>
      </c>
      <c r="B38" s="4" t="s">
        <v>5</v>
      </c>
      <c r="C38" s="4" t="s">
        <v>9</v>
      </c>
      <c r="D38" s="4" t="s">
        <v>7</v>
      </c>
      <c r="E38" s="5">
        <v>98000.0</v>
      </c>
    </row>
    <row r="39" ht="22.5" customHeight="1">
      <c r="A39" s="3">
        <v>45573.0</v>
      </c>
      <c r="B39" s="4" t="s">
        <v>8</v>
      </c>
      <c r="C39" s="4" t="s">
        <v>6</v>
      </c>
      <c r="D39" s="4" t="s">
        <v>10</v>
      </c>
      <c r="E39" s="5">
        <v>53000.0</v>
      </c>
    </row>
    <row r="40" ht="22.5" customHeight="1">
      <c r="A40" s="3">
        <v>45580.0</v>
      </c>
      <c r="B40" s="4" t="s">
        <v>11</v>
      </c>
      <c r="C40" s="4" t="s">
        <v>15</v>
      </c>
      <c r="D40" s="4" t="s">
        <v>18</v>
      </c>
      <c r="E40" s="5">
        <v>23000.0</v>
      </c>
    </row>
    <row r="41" ht="22.5" customHeight="1">
      <c r="A41" s="3">
        <v>45587.0</v>
      </c>
      <c r="B41" s="4" t="s">
        <v>14</v>
      </c>
      <c r="C41" s="4" t="s">
        <v>12</v>
      </c>
      <c r="D41" s="4" t="s">
        <v>7</v>
      </c>
      <c r="E41" s="5">
        <v>86000.0</v>
      </c>
    </row>
    <row r="42" ht="22.5" customHeight="1">
      <c r="A42" s="3">
        <v>45601.0</v>
      </c>
      <c r="B42" s="4" t="s">
        <v>16</v>
      </c>
      <c r="C42" s="4" t="s">
        <v>9</v>
      </c>
      <c r="D42" s="4" t="s">
        <v>13</v>
      </c>
      <c r="E42" s="5">
        <v>39000.0</v>
      </c>
    </row>
    <row r="43" ht="22.5" customHeight="1">
      <c r="A43" s="3">
        <v>45608.0</v>
      </c>
      <c r="B43" s="4" t="s">
        <v>17</v>
      </c>
      <c r="C43" s="4" t="s">
        <v>6</v>
      </c>
      <c r="D43" s="4" t="s">
        <v>7</v>
      </c>
      <c r="E43" s="5">
        <v>94000.0</v>
      </c>
    </row>
    <row r="44" ht="22.5" customHeight="1">
      <c r="A44" s="3">
        <v>45615.0</v>
      </c>
      <c r="B44" s="4" t="s">
        <v>5</v>
      </c>
      <c r="C44" s="4" t="s">
        <v>12</v>
      </c>
      <c r="D44" s="4" t="s">
        <v>10</v>
      </c>
      <c r="E44" s="5">
        <v>64000.0</v>
      </c>
    </row>
    <row r="45" ht="22.5" customHeight="1">
      <c r="A45" s="3">
        <v>45622.0</v>
      </c>
      <c r="B45" s="4" t="s">
        <v>8</v>
      </c>
      <c r="C45" s="4" t="s">
        <v>15</v>
      </c>
      <c r="D45" s="4" t="s">
        <v>13</v>
      </c>
      <c r="E45" s="5">
        <v>46000.0</v>
      </c>
    </row>
    <row r="46" ht="22.5" customHeight="1">
      <c r="A46" s="3">
        <v>45629.0</v>
      </c>
      <c r="B46" s="4" t="s">
        <v>11</v>
      </c>
      <c r="C46" s="4" t="s">
        <v>9</v>
      </c>
      <c r="D46" s="4" t="s">
        <v>7</v>
      </c>
      <c r="E46" s="5">
        <v>89000.0</v>
      </c>
    </row>
    <row r="47" ht="22.5" customHeight="1">
      <c r="A47" s="3">
        <v>45636.0</v>
      </c>
      <c r="B47" s="4" t="s">
        <v>14</v>
      </c>
      <c r="C47" s="4" t="s">
        <v>6</v>
      </c>
      <c r="D47" s="4" t="s">
        <v>10</v>
      </c>
      <c r="E47" s="5">
        <v>58000.0</v>
      </c>
    </row>
    <row r="48" ht="22.5" customHeight="1">
      <c r="A48" s="3">
        <v>45643.0</v>
      </c>
      <c r="B48" s="4" t="s">
        <v>16</v>
      </c>
      <c r="C48" s="4" t="s">
        <v>15</v>
      </c>
      <c r="D48" s="4" t="s">
        <v>18</v>
      </c>
      <c r="E48" s="5">
        <v>29000.0</v>
      </c>
    </row>
    <row r="49" ht="22.5" customHeight="1">
      <c r="A49" s="3">
        <v>45650.0</v>
      </c>
      <c r="B49" s="4" t="s">
        <v>17</v>
      </c>
      <c r="C49" s="4" t="s">
        <v>12</v>
      </c>
      <c r="D49" s="4" t="s">
        <v>7</v>
      </c>
      <c r="E49" s="5">
        <v>97000.0</v>
      </c>
    </row>
  </sheetData>
  <dataValidations>
    <dataValidation type="custom" allowBlank="1" showDropDown="1" sqref="E2:E49">
      <formula1>AND(ISNUMBER(E2),(NOT(OR(NOT(ISERROR(DATEVALUE(E2))), AND(ISNUMBER(E2), LEFT(CELL("format", E2))="D")))))</formula1>
    </dataValidation>
  </dataValidations>
  <printOptions gridLines="1" horizontalCentered="1"/>
  <pageMargins bottom="0.75" footer="0.0" header="0.0" left="0.25" right="0.25" top="0.75"/>
  <pageSetup paperSize="9" cellComments="atEnd" orientation="portrait"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3" max="3" width="21.71"/>
  </cols>
  <sheetData>
    <row r="1">
      <c r="A1" s="7" t="s">
        <v>19</v>
      </c>
      <c r="B1" s="8"/>
      <c r="C1" s="8"/>
      <c r="D1" s="8"/>
      <c r="E1" s="8"/>
      <c r="F1" s="8"/>
      <c r="G1" s="8"/>
      <c r="H1" s="8"/>
      <c r="I1" s="8"/>
      <c r="J1" s="8"/>
      <c r="K1" s="8"/>
      <c r="L1" s="8"/>
      <c r="M1" s="8"/>
      <c r="N1" s="8"/>
      <c r="O1" s="8"/>
      <c r="P1" s="8"/>
      <c r="Q1" s="8"/>
      <c r="R1" s="8"/>
      <c r="S1" s="8"/>
      <c r="T1" s="8"/>
      <c r="U1" s="8"/>
      <c r="V1" s="9"/>
    </row>
    <row r="2">
      <c r="A2" s="10"/>
      <c r="V2" s="11"/>
    </row>
    <row r="3">
      <c r="A3" s="10"/>
      <c r="V3" s="11"/>
    </row>
    <row r="4">
      <c r="A4" s="10"/>
      <c r="V4" s="11"/>
    </row>
    <row r="5">
      <c r="A5" s="10"/>
      <c r="G5" s="12" t="s">
        <v>20</v>
      </c>
      <c r="H5" s="12"/>
      <c r="I5" s="12"/>
      <c r="J5" s="12"/>
      <c r="K5" s="12"/>
      <c r="L5" s="12"/>
      <c r="M5" s="12"/>
      <c r="N5" s="12"/>
      <c r="V5" s="11"/>
    </row>
    <row r="6">
      <c r="A6" s="10"/>
      <c r="G6" s="12"/>
      <c r="H6" s="12"/>
      <c r="I6" s="12"/>
      <c r="J6" s="12"/>
      <c r="K6" s="12"/>
      <c r="L6" s="12"/>
      <c r="M6" s="12"/>
      <c r="N6" s="12"/>
      <c r="V6" s="11"/>
    </row>
    <row r="7">
      <c r="A7" s="10"/>
      <c r="V7" s="11"/>
    </row>
    <row r="8">
      <c r="A8" s="10"/>
      <c r="V8" s="11"/>
    </row>
    <row r="9">
      <c r="A9" s="10"/>
      <c r="V9" s="11"/>
    </row>
    <row r="10">
      <c r="A10" s="10"/>
      <c r="V10" s="11"/>
    </row>
    <row r="11">
      <c r="A11" s="10"/>
      <c r="V11" s="11"/>
    </row>
    <row r="12">
      <c r="A12" s="10"/>
      <c r="V12" s="11"/>
    </row>
    <row r="13">
      <c r="A13" s="10"/>
      <c r="V13" s="11"/>
    </row>
    <row r="14">
      <c r="A14" s="10"/>
      <c r="V14" s="11"/>
    </row>
    <row r="15">
      <c r="A15" s="10"/>
      <c r="V15" s="11"/>
    </row>
    <row r="16">
      <c r="A16" s="10"/>
      <c r="V16" s="11"/>
    </row>
    <row r="17">
      <c r="A17" s="10"/>
      <c r="V17" s="11"/>
    </row>
    <row r="18">
      <c r="A18" s="10"/>
      <c r="V18" s="11"/>
    </row>
    <row r="19">
      <c r="A19" s="10"/>
      <c r="V19" s="11"/>
    </row>
    <row r="20">
      <c r="A20" s="10"/>
      <c r="V20" s="11"/>
    </row>
    <row r="21">
      <c r="A21" s="10"/>
      <c r="V21" s="11"/>
    </row>
    <row r="22">
      <c r="A22" s="10"/>
      <c r="V22" s="11"/>
    </row>
    <row r="23">
      <c r="A23" s="10"/>
      <c r="V23" s="11"/>
    </row>
    <row r="24">
      <c r="A24" s="10"/>
      <c r="V24" s="11"/>
    </row>
    <row r="25">
      <c r="A25" s="10"/>
      <c r="V25" s="11"/>
    </row>
    <row r="26">
      <c r="A26" s="10"/>
      <c r="V26" s="11"/>
    </row>
    <row r="27">
      <c r="A27" s="10"/>
      <c r="V27" s="11"/>
    </row>
    <row r="28">
      <c r="A28" s="10"/>
      <c r="V28" s="11"/>
    </row>
    <row r="29">
      <c r="A29" s="10"/>
      <c r="V29" s="11"/>
    </row>
    <row r="30">
      <c r="A30" s="10"/>
      <c r="V30" s="11"/>
    </row>
    <row r="31">
      <c r="A31" s="10"/>
      <c r="E31" s="15"/>
      <c r="H31" s="15" t="s">
        <v>22</v>
      </c>
      <c r="I31" s="15"/>
      <c r="J31" s="15"/>
      <c r="K31" s="15"/>
      <c r="L31" s="15"/>
      <c r="M31" s="15"/>
      <c r="N31" s="15"/>
      <c r="O31" s="15"/>
      <c r="V31" s="11"/>
    </row>
    <row r="32">
      <c r="A32" s="10"/>
      <c r="G32" s="15"/>
      <c r="H32" s="15"/>
      <c r="I32" s="15"/>
      <c r="J32" s="15"/>
      <c r="K32" s="15"/>
      <c r="L32" s="15"/>
      <c r="M32" s="15"/>
      <c r="N32" s="15"/>
      <c r="O32" s="15"/>
      <c r="P32" s="15"/>
      <c r="V32" s="11"/>
    </row>
    <row r="33">
      <c r="A33" s="10"/>
      <c r="V33" s="11"/>
    </row>
    <row r="34">
      <c r="A34" s="10"/>
      <c r="F34" s="15"/>
      <c r="G34" s="15"/>
      <c r="H34" s="15"/>
      <c r="I34" s="15"/>
      <c r="J34" s="15"/>
      <c r="K34" s="15"/>
      <c r="L34" s="15"/>
      <c r="M34" s="15"/>
      <c r="N34" s="15"/>
      <c r="O34" s="15"/>
      <c r="P34" s="15"/>
      <c r="V34" s="11"/>
    </row>
    <row r="35">
      <c r="A35" s="10"/>
      <c r="F35" s="15"/>
      <c r="G35" s="15"/>
      <c r="H35" s="15"/>
      <c r="I35" s="15"/>
      <c r="J35" s="15"/>
      <c r="K35" s="15"/>
      <c r="L35" s="15"/>
      <c r="M35" s="15"/>
      <c r="N35" s="15"/>
      <c r="O35" s="15"/>
      <c r="P35" s="15"/>
      <c r="V35" s="11"/>
    </row>
    <row r="36">
      <c r="A36" s="10"/>
      <c r="V36" s="11"/>
    </row>
    <row r="37">
      <c r="A37" s="10"/>
      <c r="V37" s="11"/>
    </row>
    <row r="38">
      <c r="A38" s="10"/>
      <c r="V38" s="11"/>
    </row>
    <row r="39">
      <c r="A39" s="10"/>
      <c r="V39" s="11"/>
    </row>
    <row r="40">
      <c r="A40" s="10"/>
      <c r="V40" s="11"/>
    </row>
    <row r="41">
      <c r="A41" s="10"/>
      <c r="V41" s="11"/>
    </row>
    <row r="42">
      <c r="A42" s="10"/>
      <c r="V42" s="11"/>
    </row>
    <row r="43">
      <c r="A43" s="10"/>
      <c r="V43" s="11"/>
    </row>
    <row r="44">
      <c r="A44" s="10"/>
      <c r="V44" s="11"/>
    </row>
    <row r="45">
      <c r="A45" s="10"/>
      <c r="V45" s="11"/>
    </row>
    <row r="46">
      <c r="A46" s="10"/>
      <c r="V46" s="11"/>
    </row>
    <row r="47">
      <c r="A47" s="10"/>
      <c r="V47" s="11"/>
    </row>
    <row r="48">
      <c r="A48" s="10"/>
      <c r="V48" s="11"/>
    </row>
    <row r="49">
      <c r="A49" s="10"/>
      <c r="V49" s="11"/>
    </row>
    <row r="50">
      <c r="A50" s="10"/>
      <c r="V50" s="11"/>
    </row>
    <row r="51">
      <c r="A51" s="10"/>
      <c r="V51" s="11"/>
    </row>
    <row r="52">
      <c r="A52" s="10"/>
      <c r="V52" s="11"/>
    </row>
    <row r="53">
      <c r="A53" s="10"/>
      <c r="V53" s="11"/>
    </row>
    <row r="54">
      <c r="A54" s="10"/>
      <c r="V54" s="11"/>
    </row>
    <row r="55">
      <c r="A55" s="10"/>
      <c r="V55" s="11"/>
    </row>
    <row r="56">
      <c r="A56" s="10"/>
      <c r="V56" s="11"/>
    </row>
    <row r="57">
      <c r="A57" s="10"/>
      <c r="V57" s="11"/>
    </row>
    <row r="58">
      <c r="A58" s="10"/>
      <c r="V58" s="11"/>
    </row>
    <row r="59">
      <c r="A59" s="10"/>
      <c r="H59" s="15" t="s">
        <v>23</v>
      </c>
      <c r="I59" s="15"/>
      <c r="J59" s="15"/>
      <c r="K59" s="15"/>
      <c r="L59" s="15"/>
      <c r="M59" s="15"/>
      <c r="N59" s="15"/>
      <c r="O59" s="15"/>
      <c r="V59" s="11"/>
    </row>
    <row r="60">
      <c r="A60" s="10"/>
      <c r="F60" s="15"/>
      <c r="G60" s="15"/>
      <c r="H60" s="15"/>
      <c r="I60" s="15"/>
      <c r="J60" s="15"/>
      <c r="K60" s="15"/>
      <c r="L60" s="15"/>
      <c r="M60" s="15"/>
      <c r="N60" s="15"/>
      <c r="O60" s="15"/>
      <c r="P60" s="15"/>
      <c r="V60" s="11"/>
    </row>
    <row r="61">
      <c r="A61" s="10"/>
      <c r="V61" s="11"/>
    </row>
    <row r="62">
      <c r="A62" s="10"/>
      <c r="V62" s="11"/>
    </row>
    <row r="63">
      <c r="A63" s="10"/>
      <c r="V63" s="11"/>
    </row>
    <row r="64">
      <c r="A64" s="10"/>
      <c r="V64" s="11"/>
    </row>
    <row r="65">
      <c r="A65" s="10"/>
      <c r="V65" s="11"/>
    </row>
    <row r="66">
      <c r="A66" s="10"/>
      <c r="V66" s="11"/>
    </row>
    <row r="67">
      <c r="A67" s="10"/>
      <c r="V67" s="11"/>
    </row>
    <row r="68">
      <c r="A68" s="10"/>
      <c r="V68" s="11"/>
    </row>
    <row r="69">
      <c r="A69" s="10"/>
      <c r="V69" s="11"/>
    </row>
    <row r="70">
      <c r="A70" s="10"/>
      <c r="V70" s="11"/>
    </row>
    <row r="71">
      <c r="A71" s="10"/>
      <c r="V71" s="11"/>
    </row>
    <row r="72">
      <c r="A72" s="10"/>
      <c r="V72" s="11"/>
    </row>
    <row r="73">
      <c r="A73" s="10"/>
      <c r="V73" s="11"/>
    </row>
    <row r="74">
      <c r="A74" s="10"/>
      <c r="V74" s="11"/>
    </row>
    <row r="75">
      <c r="A75" s="10"/>
      <c r="V75" s="11"/>
    </row>
    <row r="76">
      <c r="A76" s="10"/>
      <c r="V76" s="11"/>
      <c r="AB76" s="17"/>
    </row>
    <row r="77">
      <c r="A77" s="10"/>
      <c r="V77" s="11"/>
    </row>
    <row r="78">
      <c r="A78" s="10"/>
      <c r="V78" s="11"/>
    </row>
    <row r="79">
      <c r="A79" s="10"/>
      <c r="V79" s="11"/>
    </row>
    <row r="80">
      <c r="A80" s="10"/>
      <c r="V80" s="11"/>
    </row>
    <row r="81">
      <c r="A81" s="10"/>
      <c r="V81" s="11"/>
    </row>
    <row r="82">
      <c r="A82" s="10"/>
      <c r="V82" s="11"/>
    </row>
    <row r="83">
      <c r="A83" s="10"/>
      <c r="V83" s="11"/>
    </row>
    <row r="84">
      <c r="A84" s="10"/>
      <c r="V84" s="11"/>
    </row>
    <row r="85">
      <c r="A85" s="10"/>
      <c r="V85" s="11"/>
    </row>
    <row r="86">
      <c r="A86" s="10"/>
      <c r="V86" s="11"/>
    </row>
    <row r="87">
      <c r="A87" s="10"/>
      <c r="V87" s="11"/>
    </row>
    <row r="88">
      <c r="A88" s="10"/>
      <c r="V88" s="11"/>
    </row>
    <row r="89">
      <c r="A89" s="10"/>
      <c r="V89" s="11"/>
    </row>
    <row r="90">
      <c r="A90" s="10"/>
      <c r="V90" s="11"/>
    </row>
    <row r="91">
      <c r="A91" s="18"/>
      <c r="B91" s="19"/>
      <c r="C91" s="19"/>
      <c r="D91" s="19"/>
      <c r="E91" s="19"/>
      <c r="F91" s="19"/>
      <c r="G91" s="19"/>
      <c r="H91" s="19"/>
      <c r="I91" s="19"/>
      <c r="J91" s="19"/>
      <c r="K91" s="19"/>
      <c r="L91" s="19"/>
      <c r="M91" s="19"/>
      <c r="N91" s="19"/>
      <c r="O91" s="19"/>
      <c r="P91" s="19"/>
      <c r="Q91" s="19"/>
      <c r="R91" s="19"/>
      <c r="S91" s="19"/>
      <c r="T91" s="19"/>
      <c r="U91" s="19"/>
      <c r="V91" s="20"/>
    </row>
  </sheetData>
  <customSheetViews>
    <customSheetView guid="{7AD59AF9-EE1F-4256-B04D-717C410042DE}" filter="1" showAutoFilter="1">
      <autoFilter ref="$B$66:$C$78"/>
    </customSheetView>
    <customSheetView guid="{7AD59AF9-EE1F-4256-B04D-717C410042DE}" filter="1" showAutoFilter="1">
      <autoFilter ref="$B$15:$C$20"/>
    </customSheetView>
    <customSheetView guid="{7AD59AF9-EE1F-4256-B04D-717C410042DE}" filter="1" showAutoFilter="1">
      <autoFilter ref="$B$35:$C$41"/>
    </customSheetView>
  </customSheetViews>
  <mergeCells count="1">
    <mergeCell ref="A1:V1"/>
  </mergeCells>
  <printOptions gridLines="1" horizontalCentered="1" verticalCentered="1"/>
  <pageMargins bottom="0.75" footer="0.0" header="0.0" left="0.25" right="0.25" top="0.75"/>
  <pageSetup fitToWidth="0" paperSize="9" cellComments="atEnd" orientation="landscape"/>
  <drawing r:id="rId4"/>
  <tableParts count="3">
    <tablePart r:id="rId8"/>
    <tablePart r:id="rId9"/>
    <tablePart r:id="rId10"/>
  </tableParts>
  <extLst>
    <ext uri="{3A4CF648-6AED-40f4-86FF-DC5316D8AED3}">
      <x14:slicerList>
        <x14:slicer r:id="rId11"/>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4" max="4" width="10.86"/>
    <col customWidth="1" min="6" max="6" width="11.71"/>
    <col customWidth="1" min="7" max="7" width="15.14"/>
    <col customWidth="1" min="8" max="8" width="16.43"/>
  </cols>
  <sheetData>
    <row r="1">
      <c r="A1" s="21" t="s">
        <v>37</v>
      </c>
    </row>
    <row r="2">
      <c r="A2" s="22" t="s">
        <v>38</v>
      </c>
      <c r="B2" s="22" t="s">
        <v>39</v>
      </c>
      <c r="C2" s="22" t="s">
        <v>40</v>
      </c>
      <c r="D2" s="22" t="s">
        <v>41</v>
      </c>
      <c r="E2" s="22" t="s">
        <v>42</v>
      </c>
      <c r="F2" s="22" t="s">
        <v>43</v>
      </c>
      <c r="G2" s="22" t="s">
        <v>44</v>
      </c>
      <c r="H2" s="22" t="s">
        <v>45</v>
      </c>
      <c r="J2" s="23" t="s">
        <v>46</v>
      </c>
      <c r="K2" s="23" t="s">
        <v>47</v>
      </c>
    </row>
    <row r="3">
      <c r="A3" s="24" t="s">
        <v>48</v>
      </c>
      <c r="B3" s="24" t="s">
        <v>49</v>
      </c>
      <c r="C3" s="24" t="s">
        <v>7</v>
      </c>
      <c r="D3" s="24">
        <v>2.0</v>
      </c>
      <c r="E3" s="24">
        <v>45000.0</v>
      </c>
      <c r="F3" s="25">
        <f t="shared" ref="F3:F27" si="1">D3*E3</f>
        <v>90000</v>
      </c>
      <c r="G3" s="24" t="s">
        <v>50</v>
      </c>
      <c r="H3" s="24" t="s">
        <v>51</v>
      </c>
      <c r="J3" s="26" t="s">
        <v>50</v>
      </c>
      <c r="K3" s="13">
        <f>COUNTIF(G:G,"Pending")</f>
        <v>8</v>
      </c>
    </row>
    <row r="4">
      <c r="A4" s="27" t="s">
        <v>52</v>
      </c>
      <c r="B4" s="27" t="s">
        <v>53</v>
      </c>
      <c r="C4" s="27" t="s">
        <v>54</v>
      </c>
      <c r="D4" s="27">
        <v>5.0</v>
      </c>
      <c r="E4" s="27">
        <v>22000.0</v>
      </c>
      <c r="F4" s="28">
        <f t="shared" si="1"/>
        <v>110000</v>
      </c>
      <c r="G4" s="27" t="s">
        <v>55</v>
      </c>
      <c r="H4" s="27" t="s">
        <v>56</v>
      </c>
      <c r="J4" s="26" t="s">
        <v>57</v>
      </c>
      <c r="K4" s="13">
        <f>COUNTIF(G:G,"Shipped")</f>
        <v>6</v>
      </c>
    </row>
    <row r="5">
      <c r="A5" s="24" t="s">
        <v>58</v>
      </c>
      <c r="B5" s="24" t="s">
        <v>59</v>
      </c>
      <c r="C5" s="24" t="s">
        <v>13</v>
      </c>
      <c r="D5" s="24">
        <v>3.0</v>
      </c>
      <c r="E5" s="24">
        <v>18000.0</v>
      </c>
      <c r="F5" s="25">
        <f t="shared" si="1"/>
        <v>54000</v>
      </c>
      <c r="G5" s="24" t="s">
        <v>57</v>
      </c>
      <c r="H5" s="24" t="s">
        <v>60</v>
      </c>
      <c r="J5" s="26" t="s">
        <v>55</v>
      </c>
      <c r="K5" s="13">
        <f>COUNTIF(G:G,"Delivered")</f>
        <v>8</v>
      </c>
    </row>
    <row r="6">
      <c r="A6" s="27" t="s">
        <v>61</v>
      </c>
      <c r="B6" s="27" t="s">
        <v>62</v>
      </c>
      <c r="C6" s="27" t="s">
        <v>63</v>
      </c>
      <c r="D6" s="27">
        <v>1.0</v>
      </c>
      <c r="E6" s="27">
        <v>15000.0</v>
      </c>
      <c r="F6" s="28">
        <f t="shared" si="1"/>
        <v>15000</v>
      </c>
      <c r="G6" s="27" t="s">
        <v>50</v>
      </c>
      <c r="H6" s="29">
        <v>46059.0</v>
      </c>
      <c r="J6" s="26" t="s">
        <v>64</v>
      </c>
      <c r="K6" s="13">
        <f>COUNTIF(G:G,"Cancelled")</f>
        <v>3</v>
      </c>
    </row>
    <row r="7">
      <c r="A7" s="24" t="s">
        <v>65</v>
      </c>
      <c r="B7" s="24" t="s">
        <v>66</v>
      </c>
      <c r="C7" s="24" t="s">
        <v>67</v>
      </c>
      <c r="D7" s="24">
        <v>10.0</v>
      </c>
      <c r="E7" s="24">
        <v>2500.0</v>
      </c>
      <c r="F7" s="25">
        <f t="shared" si="1"/>
        <v>25000</v>
      </c>
      <c r="G7" s="24" t="s">
        <v>55</v>
      </c>
      <c r="H7" s="30">
        <v>46028.0</v>
      </c>
    </row>
    <row r="8">
      <c r="A8" s="27" t="s">
        <v>68</v>
      </c>
      <c r="B8" s="27" t="s">
        <v>69</v>
      </c>
      <c r="C8" s="27" t="s">
        <v>70</v>
      </c>
      <c r="D8" s="27">
        <v>12.0</v>
      </c>
      <c r="E8" s="27">
        <v>1200.0</v>
      </c>
      <c r="F8" s="28">
        <f t="shared" si="1"/>
        <v>14400</v>
      </c>
      <c r="G8" s="27" t="s">
        <v>64</v>
      </c>
      <c r="H8" s="29">
        <v>46087.0</v>
      </c>
    </row>
    <row r="9">
      <c r="A9" s="24" t="s">
        <v>71</v>
      </c>
      <c r="B9" s="24" t="s">
        <v>72</v>
      </c>
      <c r="C9" s="24" t="s">
        <v>73</v>
      </c>
      <c r="D9" s="24">
        <v>2.0</v>
      </c>
      <c r="E9" s="24">
        <v>14000.0</v>
      </c>
      <c r="F9" s="25">
        <f t="shared" si="1"/>
        <v>28000</v>
      </c>
      <c r="G9" s="24" t="s">
        <v>57</v>
      </c>
      <c r="H9" s="30">
        <v>46148.0</v>
      </c>
    </row>
    <row r="10">
      <c r="A10" s="27" t="s">
        <v>74</v>
      </c>
      <c r="B10" s="27" t="s">
        <v>75</v>
      </c>
      <c r="C10" s="27" t="s">
        <v>7</v>
      </c>
      <c r="D10" s="27">
        <v>1.0</v>
      </c>
      <c r="E10" s="27">
        <v>55000.0</v>
      </c>
      <c r="F10" s="28">
        <f t="shared" si="1"/>
        <v>55000</v>
      </c>
      <c r="G10" s="27" t="s">
        <v>55</v>
      </c>
      <c r="H10" s="29">
        <v>46209.0</v>
      </c>
    </row>
    <row r="11">
      <c r="A11" s="24" t="s">
        <v>76</v>
      </c>
      <c r="B11" s="24" t="s">
        <v>77</v>
      </c>
      <c r="C11" s="24" t="s">
        <v>54</v>
      </c>
      <c r="D11" s="24">
        <v>4.0</v>
      </c>
      <c r="E11" s="24">
        <v>25000.0</v>
      </c>
      <c r="F11" s="25">
        <f t="shared" si="1"/>
        <v>100000</v>
      </c>
      <c r="G11" s="24" t="s">
        <v>50</v>
      </c>
      <c r="H11" s="30">
        <v>46271.0</v>
      </c>
    </row>
    <row r="12">
      <c r="A12" s="27" t="s">
        <v>78</v>
      </c>
      <c r="B12" s="27" t="s">
        <v>79</v>
      </c>
      <c r="C12" s="27" t="s">
        <v>13</v>
      </c>
      <c r="D12" s="27">
        <v>6.0</v>
      </c>
      <c r="E12" s="27">
        <v>17000.0</v>
      </c>
      <c r="F12" s="28">
        <f t="shared" si="1"/>
        <v>102000</v>
      </c>
      <c r="G12" s="27" t="s">
        <v>57</v>
      </c>
      <c r="H12" s="29">
        <v>46301.0</v>
      </c>
    </row>
    <row r="13">
      <c r="A13" s="24" t="s">
        <v>80</v>
      </c>
      <c r="B13" s="24" t="s">
        <v>81</v>
      </c>
      <c r="C13" s="24" t="s">
        <v>63</v>
      </c>
      <c r="D13" s="24">
        <v>2.0</v>
      </c>
      <c r="E13" s="24">
        <v>16000.0</v>
      </c>
      <c r="F13" s="25">
        <f t="shared" si="1"/>
        <v>32000</v>
      </c>
      <c r="G13" s="24" t="s">
        <v>55</v>
      </c>
      <c r="H13" s="30">
        <v>46362.0</v>
      </c>
    </row>
    <row r="14">
      <c r="A14" s="27" t="s">
        <v>82</v>
      </c>
      <c r="B14" s="27" t="s">
        <v>83</v>
      </c>
      <c r="C14" s="27" t="s">
        <v>70</v>
      </c>
      <c r="D14" s="27">
        <v>20.0</v>
      </c>
      <c r="E14" s="27">
        <v>1000.0</v>
      </c>
      <c r="F14" s="28">
        <f t="shared" si="1"/>
        <v>20000</v>
      </c>
      <c r="G14" s="27" t="s">
        <v>50</v>
      </c>
      <c r="H14" s="27" t="s">
        <v>84</v>
      </c>
    </row>
    <row r="15">
      <c r="A15" s="24" t="s">
        <v>85</v>
      </c>
      <c r="B15" s="24" t="s">
        <v>86</v>
      </c>
      <c r="C15" s="24" t="s">
        <v>67</v>
      </c>
      <c r="D15" s="24">
        <v>15.0</v>
      </c>
      <c r="E15" s="24">
        <v>2200.0</v>
      </c>
      <c r="F15" s="25">
        <f t="shared" si="1"/>
        <v>33000</v>
      </c>
      <c r="G15" s="24" t="s">
        <v>64</v>
      </c>
      <c r="H15" s="24" t="s">
        <v>87</v>
      </c>
    </row>
    <row r="16">
      <c r="A16" s="27" t="s">
        <v>88</v>
      </c>
      <c r="B16" s="27" t="s">
        <v>89</v>
      </c>
      <c r="C16" s="27" t="s">
        <v>73</v>
      </c>
      <c r="D16" s="27">
        <v>3.0</v>
      </c>
      <c r="E16" s="27">
        <v>13500.0</v>
      </c>
      <c r="F16" s="28">
        <f t="shared" si="1"/>
        <v>40500</v>
      </c>
      <c r="G16" s="27" t="s">
        <v>57</v>
      </c>
      <c r="H16" s="27" t="s">
        <v>90</v>
      </c>
    </row>
    <row r="17">
      <c r="A17" s="24" t="s">
        <v>91</v>
      </c>
      <c r="B17" s="24" t="s">
        <v>92</v>
      </c>
      <c r="C17" s="24" t="s">
        <v>7</v>
      </c>
      <c r="D17" s="24">
        <v>2.0</v>
      </c>
      <c r="E17" s="24">
        <v>60000.0</v>
      </c>
      <c r="F17" s="25">
        <f t="shared" si="1"/>
        <v>120000</v>
      </c>
      <c r="G17" s="24" t="s">
        <v>55</v>
      </c>
      <c r="H17" s="24" t="s">
        <v>93</v>
      </c>
    </row>
    <row r="18">
      <c r="A18" s="27" t="s">
        <v>94</v>
      </c>
      <c r="B18" s="27" t="s">
        <v>95</v>
      </c>
      <c r="C18" s="27" t="s">
        <v>54</v>
      </c>
      <c r="D18" s="27">
        <v>7.0</v>
      </c>
      <c r="E18" s="27">
        <v>21000.0</v>
      </c>
      <c r="F18" s="28">
        <f t="shared" si="1"/>
        <v>147000</v>
      </c>
      <c r="G18" s="27" t="s">
        <v>50</v>
      </c>
      <c r="H18" s="27" t="s">
        <v>96</v>
      </c>
    </row>
    <row r="19">
      <c r="A19" s="24" t="s">
        <v>97</v>
      </c>
      <c r="B19" s="24" t="s">
        <v>98</v>
      </c>
      <c r="C19" s="24" t="s">
        <v>13</v>
      </c>
      <c r="D19" s="24">
        <v>5.0</v>
      </c>
      <c r="E19" s="24">
        <v>19000.0</v>
      </c>
      <c r="F19" s="25">
        <f t="shared" si="1"/>
        <v>95000</v>
      </c>
      <c r="G19" s="24" t="s">
        <v>57</v>
      </c>
      <c r="H19" s="24" t="s">
        <v>99</v>
      </c>
    </row>
    <row r="20">
      <c r="A20" s="27" t="s">
        <v>100</v>
      </c>
      <c r="B20" s="27" t="s">
        <v>101</v>
      </c>
      <c r="C20" s="27" t="s">
        <v>63</v>
      </c>
      <c r="D20" s="27">
        <v>4.0</v>
      </c>
      <c r="E20" s="27">
        <v>14500.0</v>
      </c>
      <c r="F20" s="28">
        <f t="shared" si="1"/>
        <v>58000</v>
      </c>
      <c r="G20" s="27" t="s">
        <v>55</v>
      </c>
      <c r="H20" s="27" t="s">
        <v>102</v>
      </c>
    </row>
    <row r="21">
      <c r="A21" s="24" t="s">
        <v>103</v>
      </c>
      <c r="B21" s="24" t="s">
        <v>104</v>
      </c>
      <c r="C21" s="24" t="s">
        <v>70</v>
      </c>
      <c r="D21" s="24">
        <v>25.0</v>
      </c>
      <c r="E21" s="24">
        <v>900.0</v>
      </c>
      <c r="F21" s="25">
        <f t="shared" si="1"/>
        <v>22500</v>
      </c>
      <c r="G21" s="24" t="s">
        <v>50</v>
      </c>
      <c r="H21" s="24" t="s">
        <v>105</v>
      </c>
    </row>
    <row r="22">
      <c r="A22" s="27" t="s">
        <v>106</v>
      </c>
      <c r="B22" s="27" t="s">
        <v>107</v>
      </c>
      <c r="C22" s="27" t="s">
        <v>67</v>
      </c>
      <c r="D22" s="27">
        <v>8.0</v>
      </c>
      <c r="E22" s="27">
        <v>2600.0</v>
      </c>
      <c r="F22" s="28">
        <f t="shared" si="1"/>
        <v>20800</v>
      </c>
      <c r="G22" s="27" t="s">
        <v>64</v>
      </c>
      <c r="H22" s="27" t="s">
        <v>108</v>
      </c>
    </row>
    <row r="23">
      <c r="A23" s="24" t="s">
        <v>109</v>
      </c>
      <c r="B23" s="24" t="s">
        <v>110</v>
      </c>
      <c r="C23" s="24" t="s">
        <v>73</v>
      </c>
      <c r="D23" s="24">
        <v>1.0</v>
      </c>
      <c r="E23" s="24">
        <v>15500.0</v>
      </c>
      <c r="F23" s="25">
        <f t="shared" si="1"/>
        <v>15500</v>
      </c>
      <c r="G23" s="24" t="s">
        <v>55</v>
      </c>
      <c r="H23" s="24" t="s">
        <v>111</v>
      </c>
    </row>
    <row r="24">
      <c r="A24" s="27" t="s">
        <v>112</v>
      </c>
      <c r="B24" s="27" t="s">
        <v>113</v>
      </c>
      <c r="C24" s="27" t="s">
        <v>7</v>
      </c>
      <c r="D24" s="27">
        <v>3.0</v>
      </c>
      <c r="E24" s="27">
        <v>52000.0</v>
      </c>
      <c r="F24" s="28">
        <f t="shared" si="1"/>
        <v>156000</v>
      </c>
      <c r="G24" s="27" t="s">
        <v>50</v>
      </c>
      <c r="H24" s="27" t="s">
        <v>114</v>
      </c>
    </row>
    <row r="25">
      <c r="A25" s="24" t="s">
        <v>115</v>
      </c>
      <c r="B25" s="24" t="s">
        <v>116</v>
      </c>
      <c r="C25" s="24" t="s">
        <v>54</v>
      </c>
      <c r="D25" s="24">
        <v>6.0</v>
      </c>
      <c r="E25" s="24">
        <v>23000.0</v>
      </c>
      <c r="F25" s="25">
        <f t="shared" si="1"/>
        <v>138000</v>
      </c>
      <c r="G25" s="24" t="s">
        <v>57</v>
      </c>
      <c r="H25" s="24" t="s">
        <v>117</v>
      </c>
    </row>
    <row r="26">
      <c r="A26" s="27" t="s">
        <v>118</v>
      </c>
      <c r="B26" s="27" t="s">
        <v>119</v>
      </c>
      <c r="C26" s="27" t="s">
        <v>13</v>
      </c>
      <c r="D26" s="27">
        <v>2.0</v>
      </c>
      <c r="E26" s="27">
        <v>17500.0</v>
      </c>
      <c r="F26" s="28">
        <f t="shared" si="1"/>
        <v>35000</v>
      </c>
      <c r="G26" s="27" t="s">
        <v>55</v>
      </c>
      <c r="H26" s="27" t="s">
        <v>120</v>
      </c>
    </row>
    <row r="27">
      <c r="A27" s="24" t="s">
        <v>121</v>
      </c>
      <c r="B27" s="24" t="s">
        <v>122</v>
      </c>
      <c r="C27" s="24" t="s">
        <v>63</v>
      </c>
      <c r="D27" s="24">
        <v>5.0</v>
      </c>
      <c r="E27" s="24">
        <v>14800.0</v>
      </c>
      <c r="F27" s="25">
        <f t="shared" si="1"/>
        <v>74000</v>
      </c>
      <c r="G27" s="24" t="s">
        <v>50</v>
      </c>
      <c r="H27" s="24" t="s">
        <v>123</v>
      </c>
    </row>
  </sheetData>
  <mergeCells count="1">
    <mergeCell ref="A1:H1"/>
  </mergeCells>
  <conditionalFormatting sqref="D3:D27">
    <cfRule type="expression" dxfId="5" priority="1">
      <formula>D2&gt;=PERCENTILE($D$2:$D$30,0.9)</formula>
    </cfRule>
  </conditionalFormatting>
  <conditionalFormatting sqref="G3:G27">
    <cfRule type="notContainsBlanks" dxfId="6" priority="2">
      <formula>LEN(TRIM(G3))&gt;0</formula>
    </cfRule>
  </conditionalFormatting>
  <conditionalFormatting sqref="A3:H27">
    <cfRule type="expression" dxfId="7" priority="3">
      <formula>$G3="Pending"</formula>
    </cfRule>
  </conditionalFormatting>
  <conditionalFormatting sqref="A3:H27">
    <cfRule type="expression" dxfId="8" priority="4">
      <formula>$G3="Delivered"</formula>
    </cfRule>
  </conditionalFormatting>
  <conditionalFormatting sqref="A3:H27">
    <cfRule type="expression" dxfId="9" priority="5">
      <formula>$G3="Cancelled"</formula>
    </cfRule>
  </conditionalFormatting>
  <conditionalFormatting sqref="A3:H27">
    <cfRule type="expression" dxfId="10" priority="6">
      <formula>$G3="Shipped"</formula>
    </cfRule>
  </conditionalFormatting>
  <dataValidations>
    <dataValidation type="list" allowBlank="1" showErrorMessage="1" sqref="H3:H27">
      <formula1>"01-06-2026,02-06-2026,03-06-2026,05-06-2026,07-06-2026,09-06-2026,10-06-2026,12-06-2026,13-06-2026,14-06-2026,15-06-2026,16-06-2026,18-06-2026,19-06-2026,20-06-2026,21-06-2026,22-06-2026,23-06-2026,24-06-2026,25-05-2026,25-06-2026,26-06-2026,27-06-2026,28"&amp;"-05-2026,30-05-2026"</formula1>
    </dataValidation>
    <dataValidation type="list" allowBlank="1" showErrorMessage="1" sqref="D3:D27">
      <formula1>"1,10,12,15,2,20,25,3,4,5,6,7,8"</formula1>
    </dataValidation>
    <dataValidation type="list" allowBlank="1" showErrorMessage="1" sqref="G3:G27">
      <formula1>"Cancelled,Delivered,Pending,Shipped"</formula1>
    </dataValidation>
  </dataValidations>
  <printOptions gridLines="1" horizontalCentered="1"/>
  <pageMargins bottom="0.75" footer="0.0" header="0.0" left="0.7" right="0.7" top="0.75"/>
  <pageSetup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2" max="2" width="25.71"/>
    <col customWidth="1" min="8" max="8" width="15.71"/>
  </cols>
  <sheetData>
    <row r="1">
      <c r="A1" s="31" t="s">
        <v>124</v>
      </c>
      <c r="B1" s="32"/>
      <c r="C1" s="32"/>
      <c r="D1" s="32"/>
      <c r="E1" s="33"/>
    </row>
    <row r="2">
      <c r="A2" s="34" t="s">
        <v>125</v>
      </c>
      <c r="B2" s="34" t="s">
        <v>126</v>
      </c>
      <c r="C2" s="34" t="s">
        <v>127</v>
      </c>
      <c r="D2" s="34" t="s">
        <v>128</v>
      </c>
      <c r="E2" s="34" t="s">
        <v>129</v>
      </c>
      <c r="H2" s="35"/>
      <c r="I2" s="35"/>
    </row>
    <row r="3">
      <c r="A3" s="36" t="s">
        <v>130</v>
      </c>
      <c r="B3" s="37">
        <v>60000.0</v>
      </c>
      <c r="C3" s="37">
        <v>45000.0</v>
      </c>
      <c r="D3" s="38">
        <f t="shared" ref="D3:D14" si="1">B3-C3</f>
        <v>15000</v>
      </c>
      <c r="E3" s="39">
        <f t="shared" ref="E3:E14" si="2">D3/B3</f>
        <v>0.25</v>
      </c>
    </row>
    <row r="4">
      <c r="A4" s="40" t="s">
        <v>131</v>
      </c>
      <c r="B4" s="41">
        <v>65000.0</v>
      </c>
      <c r="C4" s="41">
        <v>50000.0</v>
      </c>
      <c r="D4" s="42">
        <f t="shared" si="1"/>
        <v>15000</v>
      </c>
      <c r="E4" s="43">
        <f t="shared" si="2"/>
        <v>0.2307692308</v>
      </c>
    </row>
    <row r="5">
      <c r="A5" s="36" t="s">
        <v>132</v>
      </c>
      <c r="B5" s="37">
        <v>55000.0</v>
      </c>
      <c r="C5" s="37">
        <v>42000.0</v>
      </c>
      <c r="D5" s="38">
        <f t="shared" si="1"/>
        <v>13000</v>
      </c>
      <c r="E5" s="39">
        <f t="shared" si="2"/>
        <v>0.2363636364</v>
      </c>
    </row>
    <row r="6">
      <c r="A6" s="40" t="s">
        <v>133</v>
      </c>
      <c r="B6" s="41">
        <v>50000.0</v>
      </c>
      <c r="C6" s="41">
        <v>33000.0</v>
      </c>
      <c r="D6" s="42">
        <f t="shared" si="1"/>
        <v>17000</v>
      </c>
      <c r="E6" s="43">
        <f t="shared" si="2"/>
        <v>0.34</v>
      </c>
    </row>
    <row r="7">
      <c r="A7" s="36" t="s">
        <v>134</v>
      </c>
      <c r="B7" s="37">
        <v>40000.0</v>
      </c>
      <c r="C7" s="37">
        <v>27000.0</v>
      </c>
      <c r="D7" s="38">
        <f t="shared" si="1"/>
        <v>13000</v>
      </c>
      <c r="E7" s="39">
        <f t="shared" si="2"/>
        <v>0.325</v>
      </c>
    </row>
    <row r="8">
      <c r="A8" s="40" t="s">
        <v>135</v>
      </c>
      <c r="B8" s="41">
        <v>60000.0</v>
      </c>
      <c r="C8" s="41">
        <v>43000.0</v>
      </c>
      <c r="D8" s="42">
        <f t="shared" si="1"/>
        <v>17000</v>
      </c>
      <c r="E8" s="43">
        <f t="shared" si="2"/>
        <v>0.2833333333</v>
      </c>
    </row>
    <row r="9">
      <c r="A9" s="36" t="s">
        <v>136</v>
      </c>
      <c r="B9" s="37">
        <v>65000.0</v>
      </c>
      <c r="C9" s="37">
        <v>44000.0</v>
      </c>
      <c r="D9" s="38">
        <f t="shared" si="1"/>
        <v>21000</v>
      </c>
      <c r="E9" s="39">
        <f t="shared" si="2"/>
        <v>0.3230769231</v>
      </c>
    </row>
    <row r="10">
      <c r="A10" s="40" t="s">
        <v>137</v>
      </c>
      <c r="B10" s="41">
        <v>70000.0</v>
      </c>
      <c r="C10" s="41">
        <v>51000.0</v>
      </c>
      <c r="D10" s="42">
        <f t="shared" si="1"/>
        <v>19000</v>
      </c>
      <c r="E10" s="43">
        <f t="shared" si="2"/>
        <v>0.2714285714</v>
      </c>
    </row>
    <row r="11">
      <c r="A11" s="36" t="s">
        <v>138</v>
      </c>
      <c r="B11" s="37">
        <v>75000.0</v>
      </c>
      <c r="C11" s="37">
        <v>52000.0</v>
      </c>
      <c r="D11" s="38">
        <f t="shared" si="1"/>
        <v>23000</v>
      </c>
      <c r="E11" s="39">
        <f t="shared" si="2"/>
        <v>0.3066666667</v>
      </c>
    </row>
    <row r="12">
      <c r="A12" s="40" t="s">
        <v>139</v>
      </c>
      <c r="B12" s="41">
        <v>85000.0</v>
      </c>
      <c r="C12" s="41">
        <v>59000.0</v>
      </c>
      <c r="D12" s="42">
        <f t="shared" si="1"/>
        <v>26000</v>
      </c>
      <c r="E12" s="43">
        <f t="shared" si="2"/>
        <v>0.3058823529</v>
      </c>
    </row>
    <row r="13">
      <c r="A13" s="36" t="s">
        <v>140</v>
      </c>
      <c r="B13" s="37">
        <v>70000.0</v>
      </c>
      <c r="C13" s="37">
        <v>53000.0</v>
      </c>
      <c r="D13" s="38">
        <f t="shared" si="1"/>
        <v>17000</v>
      </c>
      <c r="E13" s="39">
        <f t="shared" si="2"/>
        <v>0.2428571429</v>
      </c>
    </row>
    <row r="14">
      <c r="A14" s="40" t="s">
        <v>141</v>
      </c>
      <c r="B14" s="41">
        <v>90000.0</v>
      </c>
      <c r="C14" s="41">
        <v>70000.0</v>
      </c>
      <c r="D14" s="42">
        <f t="shared" si="1"/>
        <v>20000</v>
      </c>
      <c r="E14" s="43">
        <f t="shared" si="2"/>
        <v>0.2222222222</v>
      </c>
    </row>
  </sheetData>
  <mergeCells count="1">
    <mergeCell ref="A1:E1"/>
  </mergeCells>
  <printOptions gridLines="1" horizontalCentered="1"/>
  <pageMargins bottom="1.0" footer="0.0" header="0.0" left="1.0" right="1.0" top="1.0"/>
  <pageSetup paperSize="6"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2" max="2" width="37.43"/>
    <col customWidth="1" min="3" max="3" width="41.29"/>
    <col customWidth="1" min="4" max="4" width="31.86"/>
    <col customWidth="1" min="5" max="5" width="37.43"/>
    <col customWidth="1" min="12" max="12" width="31.57"/>
    <col customWidth="1" min="13" max="13" width="28.86"/>
    <col customWidth="1" min="14" max="14" width="37.14"/>
    <col customWidth="1" min="15" max="15" width="30.57"/>
  </cols>
  <sheetData>
    <row r="1">
      <c r="A1" s="44" t="s">
        <v>142</v>
      </c>
    </row>
    <row r="4">
      <c r="B4" s="15"/>
      <c r="C4" s="15"/>
      <c r="D4" s="15"/>
      <c r="E4" s="15"/>
    </row>
    <row r="5">
      <c r="B5" s="45" t="s">
        <v>143</v>
      </c>
      <c r="C5" s="45" t="s">
        <v>144</v>
      </c>
      <c r="D5" s="45" t="s">
        <v>145</v>
      </c>
      <c r="E5" s="45" t="s">
        <v>146</v>
      </c>
    </row>
    <row r="6">
      <c r="B6" s="46">
        <f>SUM(' Monthly Sales Report with 4 ch'!B3:B14)</f>
        <v>785000</v>
      </c>
      <c r="C6" s="47" t="s">
        <v>147</v>
      </c>
      <c r="D6" s="47" t="s">
        <v>148</v>
      </c>
      <c r="E6" s="48">
        <v>0.2781</v>
      </c>
    </row>
    <row r="11">
      <c r="B11" s="49" t="s">
        <v>149</v>
      </c>
      <c r="J11" s="49" t="s">
        <v>150</v>
      </c>
    </row>
    <row r="38">
      <c r="B38" s="49"/>
    </row>
    <row r="49">
      <c r="B49" s="49" t="s">
        <v>151</v>
      </c>
    </row>
    <row r="57">
      <c r="L57" s="50" t="s">
        <v>152</v>
      </c>
      <c r="M57" s="50" t="s">
        <v>153</v>
      </c>
    </row>
    <row r="58">
      <c r="L58" s="51" t="s">
        <v>154</v>
      </c>
      <c r="M58" s="52"/>
    </row>
    <row r="59">
      <c r="L59" s="51" t="s">
        <v>155</v>
      </c>
      <c r="M59" s="52"/>
    </row>
    <row r="60">
      <c r="L60" s="51" t="s">
        <v>156</v>
      </c>
      <c r="M60" s="52"/>
    </row>
    <row r="61">
      <c r="L61" s="51" t="s">
        <v>157</v>
      </c>
      <c r="M61" s="52"/>
    </row>
  </sheetData>
  <mergeCells count="4">
    <mergeCell ref="B11:H11"/>
    <mergeCell ref="J11:N11"/>
    <mergeCell ref="B38:H38"/>
    <mergeCell ref="B49:F49"/>
  </mergeCells>
  <printOptions gridLines="1" horizontalCentered="1"/>
  <pageMargins bottom="0.75" footer="0.0" header="0.0" left="0.7" right="0.7" top="0.75"/>
  <pageSetup cellComments="atEnd" orientation="landscape" pageOrder="overThenDown"/>
  <drawing r:id="rId1"/>
  <tableParts count="1">
    <tablePart r:id="rId3"/>
  </tableParts>
  <extLst>
    <ext uri="{05C60535-1F16-4fd2-B633-F4F36F0B64E0}">
      <x14:sparklineGroups>
        <x14:sparklineGroup displayEmptyCellsAs="gap">
          <x14:colorSeries rgb="FF000000"/>
          <x14:sparklines>
            <x14:sparkline>
              <xm:f>' Monthly Sales Report with 4 ch'!B2:B14</xm:f>
              <xm:sqref>M58</xm:sqref>
            </x14:sparkline>
          </x14:sparklines>
        </x14:sparklineGroup>
        <x14:sparklineGroup displayEmptyCellsAs="gap">
          <x14:colorSeries rgb="FF000000"/>
          <x14:sparklines>
            <x14:sparkline>
              <xm:f>' Monthly Sales Report with 4 ch'!C3:C14</xm:f>
              <xm:sqref>M59</xm:sqref>
            </x14:sparkline>
          </x14:sparklines>
        </x14:sparklineGroup>
        <x14:sparklineGroup displayEmptyCellsAs="gap">
          <x14:colorSeries rgb="FF000000"/>
          <x14:sparklines>
            <x14:sparkline>
              <xm:f>' Monthly Sales Report with 4 ch'!D3:D14</xm:f>
              <xm:sqref>M60</xm:sqref>
            </x14:sparkline>
          </x14:sparklines>
        </x14:sparklineGroup>
        <x14:sparklineGroup displayEmptyCellsAs="gap">
          <x14:colorSeries rgb="FF000000"/>
          <x14:sparklines>
            <x14:sparkline>
              <xm:f>' Monthly Sales Report with 4 ch'!E3:E14</xm:f>
              <xm:sqref>M61</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9" max="9" width="20.29"/>
    <col customWidth="1" min="10" max="10" width="17.43"/>
    <col customWidth="1" min="11" max="11" width="16.0"/>
    <col customWidth="1" min="12" max="12" width="16.57"/>
  </cols>
  <sheetData>
    <row r="1">
      <c r="A1" s="53" t="s">
        <v>158</v>
      </c>
    </row>
    <row r="2">
      <c r="A2" s="54" t="s">
        <v>159</v>
      </c>
      <c r="B2" s="54" t="s">
        <v>160</v>
      </c>
      <c r="C2" s="54" t="s">
        <v>161</v>
      </c>
      <c r="D2" s="54" t="s">
        <v>2</v>
      </c>
      <c r="E2" s="54" t="s">
        <v>162</v>
      </c>
      <c r="F2" s="54" t="s">
        <v>163</v>
      </c>
      <c r="G2" s="54" t="s">
        <v>46</v>
      </c>
    </row>
    <row r="3">
      <c r="A3" s="55" t="s">
        <v>164</v>
      </c>
      <c r="B3" s="55" t="s">
        <v>165</v>
      </c>
      <c r="C3" s="55" t="s">
        <v>166</v>
      </c>
      <c r="D3" s="55" t="s">
        <v>6</v>
      </c>
      <c r="E3" s="56">
        <v>45000.0</v>
      </c>
      <c r="F3" s="55">
        <v>4.0</v>
      </c>
      <c r="G3" s="55" t="s">
        <v>167</v>
      </c>
    </row>
    <row r="4">
      <c r="A4" s="57" t="s">
        <v>168</v>
      </c>
      <c r="B4" s="57" t="s">
        <v>62</v>
      </c>
      <c r="C4" s="57" t="s">
        <v>169</v>
      </c>
      <c r="D4" s="57" t="s">
        <v>9</v>
      </c>
      <c r="E4" s="58">
        <v>52000.0</v>
      </c>
      <c r="F4" s="57">
        <v>5.0</v>
      </c>
      <c r="G4" s="57" t="s">
        <v>167</v>
      </c>
      <c r="I4" s="59" t="s">
        <v>170</v>
      </c>
    </row>
    <row r="5">
      <c r="A5" s="55" t="s">
        <v>171</v>
      </c>
      <c r="B5" s="55" t="s">
        <v>172</v>
      </c>
      <c r="C5" s="55" t="s">
        <v>173</v>
      </c>
      <c r="D5" s="55" t="s">
        <v>12</v>
      </c>
      <c r="E5" s="56">
        <v>60000.0</v>
      </c>
      <c r="F5" s="55">
        <v>3.0</v>
      </c>
      <c r="G5" s="55" t="s">
        <v>167</v>
      </c>
      <c r="I5" s="60" t="s">
        <v>174</v>
      </c>
      <c r="J5" s="60" t="s">
        <v>175</v>
      </c>
    </row>
    <row r="6">
      <c r="A6" s="57" t="s">
        <v>176</v>
      </c>
      <c r="B6" s="57" t="s">
        <v>69</v>
      </c>
      <c r="C6" s="57" t="s">
        <v>177</v>
      </c>
      <c r="D6" s="57" t="s">
        <v>15</v>
      </c>
      <c r="E6" s="58">
        <v>48000.0</v>
      </c>
      <c r="F6" s="57">
        <v>2.0</v>
      </c>
      <c r="G6" s="57" t="s">
        <v>178</v>
      </c>
      <c r="I6" s="61" t="s">
        <v>179</v>
      </c>
      <c r="J6" s="61" t="s">
        <v>62</v>
      </c>
    </row>
    <row r="7">
      <c r="A7" s="55" t="s">
        <v>180</v>
      </c>
      <c r="B7" s="55" t="s">
        <v>181</v>
      </c>
      <c r="C7" s="55" t="s">
        <v>154</v>
      </c>
      <c r="D7" s="55" t="s">
        <v>6</v>
      </c>
      <c r="E7" s="56">
        <v>55000.0</v>
      </c>
      <c r="F7" s="55">
        <v>4.0</v>
      </c>
      <c r="G7" s="55" t="s">
        <v>167</v>
      </c>
      <c r="I7" s="27" t="s">
        <v>161</v>
      </c>
      <c r="J7" s="62" t="str">
        <f t="array" ref="J7">IFERROR(INDEX(C3:C32,MATCH(J6,B3:B32,0)),"Not Found")</f>
        <v>Finance</v>
      </c>
    </row>
    <row r="8">
      <c r="A8" s="57" t="s">
        <v>182</v>
      </c>
      <c r="B8" s="57" t="s">
        <v>89</v>
      </c>
      <c r="C8" s="57" t="s">
        <v>166</v>
      </c>
      <c r="D8" s="57" t="s">
        <v>9</v>
      </c>
      <c r="E8" s="58">
        <v>47000.0</v>
      </c>
      <c r="F8" s="57">
        <v>3.0</v>
      </c>
      <c r="G8" s="57" t="s">
        <v>167</v>
      </c>
      <c r="I8" s="61" t="s">
        <v>2</v>
      </c>
      <c r="J8" s="63" t="str">
        <f t="array" ref="J8">IFERROR(INDEX(D4:D33,MATCH(J6,B4:B33,0)),"Not Found")</f>
        <v>South</v>
      </c>
    </row>
    <row r="9">
      <c r="A9" s="64" t="s">
        <v>183</v>
      </c>
      <c r="B9" s="55" t="s">
        <v>184</v>
      </c>
      <c r="C9" s="55" t="s">
        <v>169</v>
      </c>
      <c r="D9" s="55" t="s">
        <v>12</v>
      </c>
      <c r="E9" s="56">
        <v>62000.0</v>
      </c>
      <c r="F9" s="55">
        <v>5.0</v>
      </c>
      <c r="G9" s="55" t="s">
        <v>167</v>
      </c>
      <c r="I9" s="27" t="s">
        <v>162</v>
      </c>
      <c r="J9" s="62">
        <f t="array" ref="J9">IFERROR(INDEX(E5:E32,MATCH(J6,B2:B32,0)),"Not Found")</f>
        <v>55000</v>
      </c>
    </row>
    <row r="10">
      <c r="A10" s="57" t="s">
        <v>185</v>
      </c>
      <c r="B10" s="57" t="s">
        <v>75</v>
      </c>
      <c r="C10" s="57" t="s">
        <v>173</v>
      </c>
      <c r="D10" s="57" t="s">
        <v>15</v>
      </c>
      <c r="E10" s="58">
        <v>58000.0</v>
      </c>
      <c r="F10" s="57">
        <v>4.0</v>
      </c>
      <c r="G10" s="57" t="s">
        <v>167</v>
      </c>
      <c r="I10" s="61" t="s">
        <v>163</v>
      </c>
      <c r="J10" s="63">
        <f t="array" ref="J10">IFERROR(INDEX(F2:F32,MATCH(J6,B2:B32,0)),"Not Found")</f>
        <v>5</v>
      </c>
    </row>
    <row r="11">
      <c r="A11" s="55" t="s">
        <v>186</v>
      </c>
      <c r="B11" s="55" t="s">
        <v>104</v>
      </c>
      <c r="C11" s="55" t="s">
        <v>177</v>
      </c>
      <c r="D11" s="55" t="s">
        <v>6</v>
      </c>
      <c r="E11" s="56">
        <v>43000.0</v>
      </c>
      <c r="F11" s="55">
        <v>2.0</v>
      </c>
      <c r="G11" s="55" t="s">
        <v>178</v>
      </c>
    </row>
    <row r="12">
      <c r="A12" s="57" t="s">
        <v>187</v>
      </c>
      <c r="B12" s="57" t="s">
        <v>53</v>
      </c>
      <c r="C12" s="57" t="s">
        <v>154</v>
      </c>
      <c r="D12" s="57" t="s">
        <v>9</v>
      </c>
      <c r="E12" s="58">
        <v>51000.0</v>
      </c>
      <c r="F12" s="57">
        <v>5.0</v>
      </c>
      <c r="G12" s="57" t="s">
        <v>167</v>
      </c>
    </row>
    <row r="13">
      <c r="A13" s="55" t="s">
        <v>188</v>
      </c>
      <c r="B13" s="55" t="s">
        <v>189</v>
      </c>
      <c r="C13" s="55" t="s">
        <v>166</v>
      </c>
      <c r="D13" s="55" t="s">
        <v>12</v>
      </c>
      <c r="E13" s="56">
        <v>46000.0</v>
      </c>
      <c r="F13" s="55">
        <v>3.0</v>
      </c>
      <c r="G13" s="55" t="s">
        <v>167</v>
      </c>
    </row>
    <row r="14">
      <c r="A14" s="57" t="s">
        <v>190</v>
      </c>
      <c r="B14" s="57" t="s">
        <v>95</v>
      </c>
      <c r="C14" s="57" t="s">
        <v>169</v>
      </c>
      <c r="D14" s="57" t="s">
        <v>15</v>
      </c>
      <c r="E14" s="58">
        <v>64000.0</v>
      </c>
      <c r="F14" s="57">
        <v>4.0</v>
      </c>
      <c r="G14" s="57" t="s">
        <v>167</v>
      </c>
    </row>
    <row r="15">
      <c r="A15" s="55" t="s">
        <v>191</v>
      </c>
      <c r="B15" s="55" t="s">
        <v>59</v>
      </c>
      <c r="C15" s="55" t="s">
        <v>173</v>
      </c>
      <c r="D15" s="55" t="s">
        <v>6</v>
      </c>
      <c r="E15" s="56">
        <v>70000.0</v>
      </c>
      <c r="F15" s="55">
        <v>5.0</v>
      </c>
      <c r="G15" s="55" t="s">
        <v>167</v>
      </c>
    </row>
    <row r="16">
      <c r="A16" s="57" t="s">
        <v>192</v>
      </c>
      <c r="B16" s="57" t="s">
        <v>79</v>
      </c>
      <c r="C16" s="57" t="s">
        <v>177</v>
      </c>
      <c r="D16" s="57" t="s">
        <v>9</v>
      </c>
      <c r="E16" s="58">
        <v>49000.0</v>
      </c>
      <c r="F16" s="57">
        <v>2.0</v>
      </c>
      <c r="G16" s="57" t="s">
        <v>178</v>
      </c>
      <c r="I16" s="65" t="s">
        <v>183</v>
      </c>
    </row>
    <row r="17">
      <c r="A17" s="55" t="s">
        <v>193</v>
      </c>
      <c r="B17" s="55" t="s">
        <v>110</v>
      </c>
      <c r="C17" s="55" t="s">
        <v>154</v>
      </c>
      <c r="D17" s="55" t="s">
        <v>12</v>
      </c>
      <c r="E17" s="56">
        <v>53000.0</v>
      </c>
      <c r="F17" s="55">
        <v>4.0</v>
      </c>
      <c r="G17" s="55" t="s">
        <v>167</v>
      </c>
      <c r="I17" s="60" t="s">
        <v>161</v>
      </c>
      <c r="J17" s="66" t="s">
        <v>194</v>
      </c>
      <c r="K17" s="66" t="s">
        <v>195</v>
      </c>
      <c r="L17" s="66" t="s">
        <v>196</v>
      </c>
    </row>
    <row r="18">
      <c r="A18" s="57" t="s">
        <v>197</v>
      </c>
      <c r="B18" s="57" t="s">
        <v>83</v>
      </c>
      <c r="C18" s="57" t="s">
        <v>166</v>
      </c>
      <c r="D18" s="57" t="s">
        <v>15</v>
      </c>
      <c r="E18" s="58">
        <v>45000.0</v>
      </c>
      <c r="F18" s="57">
        <v>3.0</v>
      </c>
      <c r="G18" s="57" t="s">
        <v>167</v>
      </c>
      <c r="I18" s="67" t="s">
        <v>166</v>
      </c>
      <c r="J18" s="68">
        <f>COUNTIFS(C:C,"HR",G:G,"Active")</f>
        <v>6</v>
      </c>
      <c r="K18" s="68">
        <f>COUNTIFS(C:C,"HR",F:F,"&gt;=4")</f>
        <v>2</v>
      </c>
      <c r="L18" s="68">
        <f>SUMIFS(E:E,C:C,"HR")</f>
        <v>276000</v>
      </c>
    </row>
    <row r="19">
      <c r="A19" s="55" t="s">
        <v>198</v>
      </c>
      <c r="B19" s="55" t="s">
        <v>98</v>
      </c>
      <c r="C19" s="55" t="s">
        <v>169</v>
      </c>
      <c r="D19" s="55" t="s">
        <v>6</v>
      </c>
      <c r="E19" s="56">
        <v>61000.0</v>
      </c>
      <c r="F19" s="55">
        <v>5.0</v>
      </c>
      <c r="G19" s="55" t="s">
        <v>167</v>
      </c>
      <c r="I19" s="27" t="s">
        <v>173</v>
      </c>
      <c r="J19" s="62">
        <f>COUNTIFS(C:C,"IT",G:G,"Active")</f>
        <v>6</v>
      </c>
      <c r="K19" s="62">
        <f>COUNTIFS(C:C,"IT",F:F,"&gt;=4")</f>
        <v>4</v>
      </c>
      <c r="L19" s="62">
        <f>SUMIFS(E:E,C:C,"it")</f>
        <v>368000</v>
      </c>
    </row>
    <row r="20">
      <c r="A20" s="57" t="s">
        <v>199</v>
      </c>
      <c r="B20" s="57" t="s">
        <v>113</v>
      </c>
      <c r="C20" s="57" t="s">
        <v>173</v>
      </c>
      <c r="D20" s="57" t="s">
        <v>9</v>
      </c>
      <c r="E20" s="58">
        <v>59000.0</v>
      </c>
      <c r="F20" s="57">
        <v>4.0</v>
      </c>
      <c r="G20" s="57" t="s">
        <v>167</v>
      </c>
      <c r="I20" s="67" t="s">
        <v>169</v>
      </c>
      <c r="J20" s="68">
        <f>COUNTIFS(C:C,"Finance",G:G,"Active")</f>
        <v>6</v>
      </c>
      <c r="K20" s="68">
        <f>COUNTIFS(C:C,"Finance",F:F,"&gt;=4")</f>
        <v>6</v>
      </c>
      <c r="L20" s="68">
        <f>SUMIFS(E:E,C:C,"Finance")</f>
        <v>367000</v>
      </c>
    </row>
    <row r="21">
      <c r="A21" s="55" t="s">
        <v>200</v>
      </c>
      <c r="B21" s="55" t="s">
        <v>122</v>
      </c>
      <c r="C21" s="55" t="s">
        <v>177</v>
      </c>
      <c r="D21" s="55" t="s">
        <v>12</v>
      </c>
      <c r="E21" s="56">
        <v>44000.0</v>
      </c>
      <c r="F21" s="55">
        <v>1.0</v>
      </c>
      <c r="G21" s="55" t="s">
        <v>178</v>
      </c>
      <c r="I21" s="27" t="s">
        <v>154</v>
      </c>
      <c r="J21" s="62">
        <f>COUNTIFS(C:C,"SALES",G:G,"Active")</f>
        <v>6</v>
      </c>
      <c r="K21" s="62">
        <f>COUNTIFS(C:C,"sales",F:F,"&gt;=4")</f>
        <v>6</v>
      </c>
      <c r="L21" s="62">
        <f>SUMIFS(E:E,C:C,"Sales")</f>
        <v>326000</v>
      </c>
    </row>
    <row r="22">
      <c r="A22" s="57" t="s">
        <v>201</v>
      </c>
      <c r="B22" s="57" t="s">
        <v>92</v>
      </c>
      <c r="C22" s="57" t="s">
        <v>154</v>
      </c>
      <c r="D22" s="57" t="s">
        <v>15</v>
      </c>
      <c r="E22" s="58">
        <v>56000.0</v>
      </c>
      <c r="F22" s="57">
        <v>5.0</v>
      </c>
      <c r="G22" s="57" t="s">
        <v>167</v>
      </c>
      <c r="I22" s="67" t="s">
        <v>177</v>
      </c>
      <c r="J22" s="68">
        <f>COUNTIFS(C:C,"HR",G:G,"Active")</f>
        <v>6</v>
      </c>
      <c r="K22" s="68">
        <f>COUNTIFS(C:C,"marketing",F:F,"&gt;=4")</f>
        <v>0</v>
      </c>
      <c r="L22" s="68">
        <f>SUMIFS(E:E,C:C,"marketing")</f>
        <v>271000</v>
      </c>
    </row>
    <row r="23">
      <c r="A23" s="55" t="s">
        <v>202</v>
      </c>
      <c r="B23" s="55" t="s">
        <v>203</v>
      </c>
      <c r="C23" s="55" t="s">
        <v>166</v>
      </c>
      <c r="D23" s="55" t="s">
        <v>6</v>
      </c>
      <c r="E23" s="56">
        <v>47000.0</v>
      </c>
      <c r="F23" s="55">
        <v>4.0</v>
      </c>
      <c r="G23" s="55" t="s">
        <v>167</v>
      </c>
    </row>
    <row r="24">
      <c r="A24" s="57" t="s">
        <v>204</v>
      </c>
      <c r="B24" s="57" t="s">
        <v>72</v>
      </c>
      <c r="C24" s="57" t="s">
        <v>169</v>
      </c>
      <c r="D24" s="57" t="s">
        <v>9</v>
      </c>
      <c r="E24" s="58">
        <v>63000.0</v>
      </c>
      <c r="F24" s="57">
        <v>5.0</v>
      </c>
      <c r="G24" s="57" t="s">
        <v>167</v>
      </c>
    </row>
    <row r="25">
      <c r="A25" s="55" t="s">
        <v>205</v>
      </c>
      <c r="B25" s="55" t="s">
        <v>119</v>
      </c>
      <c r="C25" s="55" t="s">
        <v>173</v>
      </c>
      <c r="D25" s="55" t="s">
        <v>12</v>
      </c>
      <c r="E25" s="56">
        <v>61000.0</v>
      </c>
      <c r="F25" s="55">
        <v>3.0</v>
      </c>
      <c r="G25" s="55" t="s">
        <v>167</v>
      </c>
    </row>
    <row r="26">
      <c r="A26" s="57" t="s">
        <v>206</v>
      </c>
      <c r="B26" s="57" t="s">
        <v>86</v>
      </c>
      <c r="C26" s="57" t="s">
        <v>177</v>
      </c>
      <c r="D26" s="57" t="s">
        <v>15</v>
      </c>
      <c r="E26" s="58">
        <v>42000.0</v>
      </c>
      <c r="F26" s="57">
        <v>2.0</v>
      </c>
      <c r="G26" s="57" t="s">
        <v>178</v>
      </c>
      <c r="I26" s="69" t="s">
        <v>207</v>
      </c>
    </row>
    <row r="27">
      <c r="A27" s="55" t="s">
        <v>208</v>
      </c>
      <c r="B27" s="55" t="s">
        <v>116</v>
      </c>
      <c r="C27" s="55" t="s">
        <v>154</v>
      </c>
      <c r="D27" s="55" t="s">
        <v>6</v>
      </c>
      <c r="E27" s="56">
        <v>54000.0</v>
      </c>
      <c r="F27" s="55">
        <v>4.0</v>
      </c>
      <c r="G27" s="55" t="s">
        <v>167</v>
      </c>
      <c r="I27" s="70" t="s">
        <v>2</v>
      </c>
      <c r="J27" s="71" t="s">
        <v>209</v>
      </c>
    </row>
    <row r="28">
      <c r="A28" s="57" t="s">
        <v>210</v>
      </c>
      <c r="B28" s="57" t="s">
        <v>107</v>
      </c>
      <c r="C28" s="57" t="s">
        <v>166</v>
      </c>
      <c r="D28" s="57" t="s">
        <v>9</v>
      </c>
      <c r="E28" s="58">
        <v>46000.0</v>
      </c>
      <c r="F28" s="57">
        <v>3.0</v>
      </c>
      <c r="G28" s="57" t="s">
        <v>167</v>
      </c>
      <c r="I28" s="72" t="s">
        <v>6</v>
      </c>
      <c r="J28" s="73">
        <f>AVERAGEIFS(E:E,D:D,"North")</f>
        <v>52500</v>
      </c>
    </row>
    <row r="29">
      <c r="A29" s="55" t="s">
        <v>211</v>
      </c>
      <c r="B29" s="55" t="s">
        <v>81</v>
      </c>
      <c r="C29" s="55" t="s">
        <v>169</v>
      </c>
      <c r="D29" s="55" t="s">
        <v>12</v>
      </c>
      <c r="E29" s="56">
        <v>65000.0</v>
      </c>
      <c r="F29" s="55">
        <v>5.0</v>
      </c>
      <c r="G29" s="55" t="s">
        <v>167</v>
      </c>
      <c r="I29" s="72" t="s">
        <v>9</v>
      </c>
      <c r="J29" s="73">
        <f>AVERAGEIFS(E:E,D:D,"south")</f>
        <v>53000</v>
      </c>
    </row>
    <row r="30">
      <c r="A30" s="57" t="s">
        <v>212</v>
      </c>
      <c r="B30" s="57" t="s">
        <v>101</v>
      </c>
      <c r="C30" s="57" t="s">
        <v>173</v>
      </c>
      <c r="D30" s="57" t="s">
        <v>15</v>
      </c>
      <c r="E30" s="58">
        <v>60000.0</v>
      </c>
      <c r="F30" s="57">
        <v>4.0</v>
      </c>
      <c r="G30" s="57" t="s">
        <v>167</v>
      </c>
      <c r="I30" s="72" t="s">
        <v>12</v>
      </c>
      <c r="J30" s="74">
        <f>AVERAGEIFS(E:E,D:D,"east")</f>
        <v>55857.14286</v>
      </c>
    </row>
    <row r="31">
      <c r="A31" s="55" t="s">
        <v>213</v>
      </c>
      <c r="B31" s="55" t="s">
        <v>66</v>
      </c>
      <c r="C31" s="55" t="s">
        <v>177</v>
      </c>
      <c r="D31" s="55" t="s">
        <v>6</v>
      </c>
      <c r="E31" s="56">
        <v>45000.0</v>
      </c>
      <c r="F31" s="55">
        <v>2.0</v>
      </c>
      <c r="G31" s="55" t="s">
        <v>178</v>
      </c>
      <c r="I31" s="72" t="s">
        <v>15</v>
      </c>
      <c r="J31" s="74">
        <f>AVERAGEIFS(E:E,D:D,"west")</f>
        <v>53285.71429</v>
      </c>
    </row>
    <row r="32">
      <c r="A32" s="57" t="s">
        <v>214</v>
      </c>
      <c r="B32" s="57" t="s">
        <v>215</v>
      </c>
      <c r="C32" s="57" t="s">
        <v>154</v>
      </c>
      <c r="D32" s="57" t="s">
        <v>9</v>
      </c>
      <c r="E32" s="58">
        <v>57000.0</v>
      </c>
      <c r="F32" s="57">
        <v>5.0</v>
      </c>
      <c r="G32" s="57" t="s">
        <v>167</v>
      </c>
    </row>
  </sheetData>
  <mergeCells count="4">
    <mergeCell ref="A1:G1"/>
    <mergeCell ref="I4:J4"/>
    <mergeCell ref="I16:L16"/>
    <mergeCell ref="I26:J26"/>
  </mergeCells>
  <conditionalFormatting sqref="F2:F32">
    <cfRule type="colorScale" priority="1">
      <colorScale>
        <cfvo type="formula" val="1"/>
        <cfvo type="formula" val="3"/>
        <cfvo type="formula" val="5"/>
        <color rgb="FFCC0000"/>
        <color rgb="FFFFD966"/>
        <color rgb="FF6AA84F"/>
      </colorScale>
    </cfRule>
  </conditionalFormatting>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13.14"/>
    <col customWidth="1" min="2" max="2" width="19.0"/>
    <col customWidth="1" min="3" max="3" width="20.14"/>
    <col customWidth="1" min="4" max="4" width="12.14"/>
    <col customWidth="1" min="5" max="5" width="15.0"/>
    <col customWidth="1" min="6" max="6" width="13.0"/>
    <col customWidth="1" min="7" max="7" width="13.29"/>
    <col customWidth="1" min="8" max="8" width="14.43"/>
    <col customWidth="1" min="9" max="10" width="17.43"/>
    <col customWidth="1" min="11" max="12" width="17.29"/>
    <col customWidth="1" min="13" max="13" width="14.57"/>
    <col customWidth="1" min="14" max="14" width="12.0"/>
    <col customWidth="1" min="15" max="15" width="17.29"/>
  </cols>
  <sheetData>
    <row r="1" ht="22.5" customHeight="1">
      <c r="A1" s="1" t="s">
        <v>216</v>
      </c>
      <c r="B1" s="1" t="s">
        <v>217</v>
      </c>
      <c r="C1" s="1" t="s">
        <v>218</v>
      </c>
      <c r="D1" s="1" t="s">
        <v>2</v>
      </c>
      <c r="E1" s="1" t="s">
        <v>219</v>
      </c>
      <c r="F1" s="1" t="s">
        <v>3</v>
      </c>
      <c r="G1" s="1" t="s">
        <v>220</v>
      </c>
      <c r="H1" s="75" t="s">
        <v>221</v>
      </c>
      <c r="I1" s="75" t="s">
        <v>222</v>
      </c>
      <c r="J1" s="76" t="s">
        <v>223</v>
      </c>
      <c r="K1" s="77" t="s">
        <v>224</v>
      </c>
      <c r="L1" s="76" t="s">
        <v>225</v>
      </c>
      <c r="M1" s="78" t="s">
        <v>128</v>
      </c>
      <c r="N1" s="1" t="s">
        <v>46</v>
      </c>
      <c r="O1" s="78" t="s">
        <v>226</v>
      </c>
    </row>
    <row r="2" ht="22.5" customHeight="1">
      <c r="A2" s="79" t="s">
        <v>227</v>
      </c>
      <c r="B2" s="80">
        <v>44927.0</v>
      </c>
      <c r="C2" s="79" t="s">
        <v>228</v>
      </c>
      <c r="D2" s="79" t="s">
        <v>6</v>
      </c>
      <c r="E2" s="79" t="s">
        <v>229</v>
      </c>
      <c r="F2" s="79" t="s">
        <v>7</v>
      </c>
      <c r="G2" s="79">
        <v>2.0</v>
      </c>
      <c r="H2" s="81">
        <v>1200.0</v>
      </c>
      <c r="I2" s="81">
        <f t="shared" ref="I2:I51" si="1">G2*H2</f>
        <v>2400</v>
      </c>
      <c r="J2" s="82">
        <v>2200.0</v>
      </c>
      <c r="K2" s="83">
        <f t="shared" ref="K2:K51" si="2">(I2-J2)/I2</f>
        <v>0.08333333333</v>
      </c>
      <c r="L2" s="82">
        <f t="shared" ref="L2:L51" si="3">J2*70%</f>
        <v>1540</v>
      </c>
      <c r="M2" s="82">
        <f t="shared" ref="M2:M51" si="4">J2-L2</f>
        <v>660</v>
      </c>
      <c r="N2" s="79" t="s">
        <v>55</v>
      </c>
      <c r="O2" s="84">
        <f t="shared" ref="O2:O51" si="5">M2/J2</f>
        <v>0.3</v>
      </c>
    </row>
    <row r="3" ht="22.5" customHeight="1">
      <c r="A3" s="79" t="s">
        <v>230</v>
      </c>
      <c r="B3" s="80">
        <v>44928.0</v>
      </c>
      <c r="C3" s="79" t="s">
        <v>231</v>
      </c>
      <c r="D3" s="79" t="s">
        <v>9</v>
      </c>
      <c r="E3" s="79" t="s">
        <v>232</v>
      </c>
      <c r="F3" s="79" t="s">
        <v>233</v>
      </c>
      <c r="G3" s="79">
        <v>4.0</v>
      </c>
      <c r="H3" s="81">
        <v>150.0</v>
      </c>
      <c r="I3" s="81">
        <f t="shared" si="1"/>
        <v>600</v>
      </c>
      <c r="J3" s="82">
        <v>550.0</v>
      </c>
      <c r="K3" s="83">
        <f t="shared" si="2"/>
        <v>0.08333333333</v>
      </c>
      <c r="L3" s="82">
        <f t="shared" si="3"/>
        <v>385</v>
      </c>
      <c r="M3" s="82">
        <f t="shared" si="4"/>
        <v>165</v>
      </c>
      <c r="N3" s="79" t="s">
        <v>57</v>
      </c>
      <c r="O3" s="84">
        <f t="shared" si="5"/>
        <v>0.3</v>
      </c>
    </row>
    <row r="4" ht="22.5" customHeight="1">
      <c r="A4" s="79" t="s">
        <v>234</v>
      </c>
      <c r="B4" s="80">
        <v>44929.0</v>
      </c>
      <c r="C4" s="79" t="s">
        <v>235</v>
      </c>
      <c r="D4" s="79" t="s">
        <v>12</v>
      </c>
      <c r="E4" s="79" t="s">
        <v>236</v>
      </c>
      <c r="F4" s="79" t="s">
        <v>237</v>
      </c>
      <c r="G4" s="79">
        <v>10.0</v>
      </c>
      <c r="H4" s="81">
        <v>20.0</v>
      </c>
      <c r="I4" s="81">
        <f t="shared" si="1"/>
        <v>200</v>
      </c>
      <c r="J4" s="82">
        <v>170.0</v>
      </c>
      <c r="K4" s="83">
        <f t="shared" si="2"/>
        <v>0.15</v>
      </c>
      <c r="L4" s="82">
        <f t="shared" si="3"/>
        <v>119</v>
      </c>
      <c r="M4" s="82">
        <f t="shared" si="4"/>
        <v>51</v>
      </c>
      <c r="N4" s="79" t="s">
        <v>238</v>
      </c>
      <c r="O4" s="84">
        <f t="shared" si="5"/>
        <v>0.3</v>
      </c>
    </row>
    <row r="5" ht="22.5" customHeight="1">
      <c r="A5" s="79" t="s">
        <v>239</v>
      </c>
      <c r="B5" s="80">
        <v>44930.0</v>
      </c>
      <c r="C5" s="79" t="s">
        <v>240</v>
      </c>
      <c r="D5" s="79" t="s">
        <v>15</v>
      </c>
      <c r="E5" s="79" t="s">
        <v>229</v>
      </c>
      <c r="F5" s="79" t="s">
        <v>54</v>
      </c>
      <c r="G5" s="79">
        <v>1.0</v>
      </c>
      <c r="H5" s="81">
        <v>800.0</v>
      </c>
      <c r="I5" s="81">
        <f t="shared" si="1"/>
        <v>800</v>
      </c>
      <c r="J5" s="82">
        <v>750.0</v>
      </c>
      <c r="K5" s="83">
        <f t="shared" si="2"/>
        <v>0.0625</v>
      </c>
      <c r="L5" s="82">
        <f t="shared" si="3"/>
        <v>525</v>
      </c>
      <c r="M5" s="82">
        <f t="shared" si="4"/>
        <v>225</v>
      </c>
      <c r="N5" s="79" t="s">
        <v>55</v>
      </c>
      <c r="O5" s="84">
        <f t="shared" si="5"/>
        <v>0.3</v>
      </c>
    </row>
    <row r="6" ht="22.5" customHeight="1">
      <c r="A6" s="79" t="s">
        <v>241</v>
      </c>
      <c r="B6" s="80">
        <v>44931.0</v>
      </c>
      <c r="C6" s="79" t="s">
        <v>242</v>
      </c>
      <c r="D6" s="79" t="s">
        <v>6</v>
      </c>
      <c r="E6" s="79" t="s">
        <v>232</v>
      </c>
      <c r="F6" s="79" t="s">
        <v>243</v>
      </c>
      <c r="G6" s="79">
        <v>1.0</v>
      </c>
      <c r="H6" s="81">
        <v>300.0</v>
      </c>
      <c r="I6" s="81">
        <f t="shared" si="1"/>
        <v>300</v>
      </c>
      <c r="J6" s="82">
        <v>280.0</v>
      </c>
      <c r="K6" s="83">
        <f t="shared" si="2"/>
        <v>0.06666666667</v>
      </c>
      <c r="L6" s="82">
        <f t="shared" si="3"/>
        <v>196</v>
      </c>
      <c r="M6" s="82">
        <f t="shared" si="4"/>
        <v>84</v>
      </c>
      <c r="N6" s="79" t="s">
        <v>57</v>
      </c>
      <c r="O6" s="84">
        <f t="shared" si="5"/>
        <v>0.3</v>
      </c>
    </row>
    <row r="7" ht="22.5" customHeight="1">
      <c r="A7" s="79" t="s">
        <v>244</v>
      </c>
      <c r="B7" s="80">
        <v>44932.0</v>
      </c>
      <c r="C7" s="79" t="s">
        <v>245</v>
      </c>
      <c r="D7" s="79" t="s">
        <v>9</v>
      </c>
      <c r="E7" s="79" t="s">
        <v>236</v>
      </c>
      <c r="F7" s="79" t="s">
        <v>246</v>
      </c>
      <c r="G7" s="79">
        <v>50.0</v>
      </c>
      <c r="H7" s="81">
        <v>2.0</v>
      </c>
      <c r="I7" s="81">
        <f t="shared" si="1"/>
        <v>100</v>
      </c>
      <c r="J7" s="82">
        <v>70.0</v>
      </c>
      <c r="K7" s="83">
        <f t="shared" si="2"/>
        <v>0.3</v>
      </c>
      <c r="L7" s="82">
        <f t="shared" si="3"/>
        <v>49</v>
      </c>
      <c r="M7" s="82">
        <f t="shared" si="4"/>
        <v>21</v>
      </c>
      <c r="N7" s="79" t="s">
        <v>55</v>
      </c>
      <c r="O7" s="84">
        <f t="shared" si="5"/>
        <v>0.3</v>
      </c>
    </row>
    <row r="8" ht="22.5" customHeight="1">
      <c r="A8" s="79" t="s">
        <v>247</v>
      </c>
      <c r="B8" s="80">
        <v>44933.0</v>
      </c>
      <c r="C8" s="79" t="s">
        <v>248</v>
      </c>
      <c r="D8" s="79" t="s">
        <v>12</v>
      </c>
      <c r="E8" s="79" t="s">
        <v>229</v>
      </c>
      <c r="F8" s="79" t="s">
        <v>63</v>
      </c>
      <c r="G8" s="79">
        <v>2.0</v>
      </c>
      <c r="H8" s="81">
        <v>250.0</v>
      </c>
      <c r="I8" s="81">
        <f t="shared" si="1"/>
        <v>500</v>
      </c>
      <c r="J8" s="82">
        <v>460.0</v>
      </c>
      <c r="K8" s="83">
        <f t="shared" si="2"/>
        <v>0.08</v>
      </c>
      <c r="L8" s="82">
        <f t="shared" si="3"/>
        <v>322</v>
      </c>
      <c r="M8" s="82">
        <f t="shared" si="4"/>
        <v>138</v>
      </c>
      <c r="N8" s="79" t="s">
        <v>238</v>
      </c>
      <c r="O8" s="84">
        <f t="shared" si="5"/>
        <v>0.3</v>
      </c>
    </row>
    <row r="9" ht="22.5" customHeight="1">
      <c r="A9" s="79" t="s">
        <v>249</v>
      </c>
      <c r="B9" s="80">
        <v>44934.0</v>
      </c>
      <c r="C9" s="79" t="s">
        <v>250</v>
      </c>
      <c r="D9" s="79" t="s">
        <v>15</v>
      </c>
      <c r="E9" s="79" t="s">
        <v>232</v>
      </c>
      <c r="F9" s="79" t="s">
        <v>251</v>
      </c>
      <c r="G9" s="79">
        <v>1.0</v>
      </c>
      <c r="H9" s="81">
        <v>400.0</v>
      </c>
      <c r="I9" s="81">
        <f t="shared" si="1"/>
        <v>400</v>
      </c>
      <c r="J9" s="82">
        <v>340.0</v>
      </c>
      <c r="K9" s="83">
        <f t="shared" si="2"/>
        <v>0.15</v>
      </c>
      <c r="L9" s="82">
        <f t="shared" si="3"/>
        <v>238</v>
      </c>
      <c r="M9" s="82">
        <f t="shared" si="4"/>
        <v>102</v>
      </c>
      <c r="N9" s="79" t="s">
        <v>55</v>
      </c>
      <c r="O9" s="84">
        <f t="shared" si="5"/>
        <v>0.3</v>
      </c>
    </row>
    <row r="10" ht="22.5" customHeight="1">
      <c r="A10" s="79" t="s">
        <v>252</v>
      </c>
      <c r="B10" s="80">
        <v>44935.0</v>
      </c>
      <c r="C10" s="79" t="s">
        <v>253</v>
      </c>
      <c r="D10" s="79" t="s">
        <v>6</v>
      </c>
      <c r="E10" s="79" t="s">
        <v>236</v>
      </c>
      <c r="F10" s="79" t="s">
        <v>254</v>
      </c>
      <c r="G10" s="79">
        <v>20.0</v>
      </c>
      <c r="H10" s="81">
        <v>5.0</v>
      </c>
      <c r="I10" s="81">
        <f t="shared" si="1"/>
        <v>100</v>
      </c>
      <c r="J10" s="82">
        <v>80.0</v>
      </c>
      <c r="K10" s="83">
        <f t="shared" si="2"/>
        <v>0.2</v>
      </c>
      <c r="L10" s="82">
        <f t="shared" si="3"/>
        <v>56</v>
      </c>
      <c r="M10" s="82">
        <f t="shared" si="4"/>
        <v>24</v>
      </c>
      <c r="N10" s="79" t="s">
        <v>57</v>
      </c>
      <c r="O10" s="84">
        <f t="shared" si="5"/>
        <v>0.3</v>
      </c>
    </row>
    <row r="11" ht="22.5" customHeight="1">
      <c r="A11" s="79" t="s">
        <v>255</v>
      </c>
      <c r="B11" s="80">
        <v>44936.0</v>
      </c>
      <c r="C11" s="79" t="s">
        <v>256</v>
      </c>
      <c r="D11" s="79" t="s">
        <v>9</v>
      </c>
      <c r="E11" s="79" t="s">
        <v>229</v>
      </c>
      <c r="F11" s="79" t="s">
        <v>13</v>
      </c>
      <c r="G11" s="79">
        <v>3.0</v>
      </c>
      <c r="H11" s="81">
        <v>400.0</v>
      </c>
      <c r="I11" s="81">
        <f t="shared" si="1"/>
        <v>1200</v>
      </c>
      <c r="J11" s="82">
        <v>1140.0</v>
      </c>
      <c r="K11" s="83">
        <f t="shared" si="2"/>
        <v>0.05</v>
      </c>
      <c r="L11" s="82">
        <f t="shared" si="3"/>
        <v>798</v>
      </c>
      <c r="M11" s="82">
        <f t="shared" si="4"/>
        <v>342</v>
      </c>
      <c r="N11" s="79" t="s">
        <v>55</v>
      </c>
      <c r="O11" s="84">
        <f t="shared" si="5"/>
        <v>0.3</v>
      </c>
    </row>
    <row r="12" ht="22.5" customHeight="1">
      <c r="A12" s="79" t="s">
        <v>257</v>
      </c>
      <c r="B12" s="80">
        <v>44937.0</v>
      </c>
      <c r="C12" s="79" t="s">
        <v>258</v>
      </c>
      <c r="D12" s="79" t="s">
        <v>12</v>
      </c>
      <c r="E12" s="79" t="s">
        <v>232</v>
      </c>
      <c r="F12" s="79" t="s">
        <v>259</v>
      </c>
      <c r="G12" s="79">
        <v>1.0</v>
      </c>
      <c r="H12" s="81">
        <v>900.0</v>
      </c>
      <c r="I12" s="81">
        <f t="shared" si="1"/>
        <v>900</v>
      </c>
      <c r="J12" s="82">
        <v>800.0</v>
      </c>
      <c r="K12" s="83">
        <f t="shared" si="2"/>
        <v>0.1111111111</v>
      </c>
      <c r="L12" s="82">
        <f t="shared" si="3"/>
        <v>560</v>
      </c>
      <c r="M12" s="82">
        <f t="shared" si="4"/>
        <v>240</v>
      </c>
      <c r="N12" s="79" t="s">
        <v>238</v>
      </c>
      <c r="O12" s="84">
        <f t="shared" si="5"/>
        <v>0.3</v>
      </c>
    </row>
    <row r="13" ht="22.5" customHeight="1">
      <c r="A13" s="79" t="s">
        <v>260</v>
      </c>
      <c r="B13" s="80">
        <v>44938.0</v>
      </c>
      <c r="C13" s="79" t="s">
        <v>261</v>
      </c>
      <c r="D13" s="79" t="s">
        <v>15</v>
      </c>
      <c r="E13" s="79" t="s">
        <v>236</v>
      </c>
      <c r="F13" s="79" t="s">
        <v>262</v>
      </c>
      <c r="G13" s="79">
        <v>15.0</v>
      </c>
      <c r="H13" s="81">
        <v>10.0</v>
      </c>
      <c r="I13" s="81">
        <f t="shared" si="1"/>
        <v>150</v>
      </c>
      <c r="J13" s="82">
        <v>120.0</v>
      </c>
      <c r="K13" s="83">
        <f t="shared" si="2"/>
        <v>0.2</v>
      </c>
      <c r="L13" s="82">
        <f t="shared" si="3"/>
        <v>84</v>
      </c>
      <c r="M13" s="82">
        <f t="shared" si="4"/>
        <v>36</v>
      </c>
      <c r="N13" s="79" t="s">
        <v>55</v>
      </c>
      <c r="O13" s="84">
        <f t="shared" si="5"/>
        <v>0.3</v>
      </c>
    </row>
    <row r="14" ht="22.5" customHeight="1">
      <c r="A14" s="79" t="s">
        <v>263</v>
      </c>
      <c r="B14" s="80">
        <v>44939.0</v>
      </c>
      <c r="C14" s="79" t="s">
        <v>264</v>
      </c>
      <c r="D14" s="79" t="s">
        <v>6</v>
      </c>
      <c r="E14" s="79" t="s">
        <v>229</v>
      </c>
      <c r="F14" s="79" t="s">
        <v>7</v>
      </c>
      <c r="G14" s="79">
        <v>1.0</v>
      </c>
      <c r="H14" s="81">
        <v>1200.0</v>
      </c>
      <c r="I14" s="81">
        <f t="shared" si="1"/>
        <v>1200</v>
      </c>
      <c r="J14" s="82">
        <v>1000.0</v>
      </c>
      <c r="K14" s="83">
        <f t="shared" si="2"/>
        <v>0.1666666667</v>
      </c>
      <c r="L14" s="82">
        <f t="shared" si="3"/>
        <v>700</v>
      </c>
      <c r="M14" s="82">
        <f t="shared" si="4"/>
        <v>300</v>
      </c>
      <c r="N14" s="79" t="s">
        <v>57</v>
      </c>
      <c r="O14" s="84">
        <f t="shared" si="5"/>
        <v>0.3</v>
      </c>
    </row>
    <row r="15" ht="22.5" customHeight="1">
      <c r="A15" s="79" t="s">
        <v>265</v>
      </c>
      <c r="B15" s="80">
        <v>44940.0</v>
      </c>
      <c r="C15" s="79" t="s">
        <v>266</v>
      </c>
      <c r="D15" s="79" t="s">
        <v>9</v>
      </c>
      <c r="E15" s="79" t="s">
        <v>232</v>
      </c>
      <c r="F15" s="79" t="s">
        <v>233</v>
      </c>
      <c r="G15" s="79">
        <v>6.0</v>
      </c>
      <c r="H15" s="81">
        <v>150.0</v>
      </c>
      <c r="I15" s="81">
        <f t="shared" si="1"/>
        <v>900</v>
      </c>
      <c r="J15" s="82">
        <v>450.0</v>
      </c>
      <c r="K15" s="83">
        <f t="shared" si="2"/>
        <v>0.5</v>
      </c>
      <c r="L15" s="82">
        <f t="shared" si="3"/>
        <v>315</v>
      </c>
      <c r="M15" s="82">
        <f t="shared" si="4"/>
        <v>135</v>
      </c>
      <c r="N15" s="79" t="s">
        <v>55</v>
      </c>
      <c r="O15" s="84">
        <f t="shared" si="5"/>
        <v>0.3</v>
      </c>
    </row>
    <row r="16" ht="22.5" customHeight="1">
      <c r="A16" s="79" t="s">
        <v>267</v>
      </c>
      <c r="B16" s="80">
        <v>44941.0</v>
      </c>
      <c r="C16" s="79" t="s">
        <v>268</v>
      </c>
      <c r="D16" s="79" t="s">
        <v>12</v>
      </c>
      <c r="E16" s="79" t="s">
        <v>236</v>
      </c>
      <c r="F16" s="79" t="s">
        <v>237</v>
      </c>
      <c r="G16" s="79">
        <v>5.0</v>
      </c>
      <c r="H16" s="81">
        <v>20.0</v>
      </c>
      <c r="I16" s="81">
        <f t="shared" si="1"/>
        <v>100</v>
      </c>
      <c r="J16" s="82">
        <v>85.0</v>
      </c>
      <c r="K16" s="83">
        <f t="shared" si="2"/>
        <v>0.15</v>
      </c>
      <c r="L16" s="82">
        <f t="shared" si="3"/>
        <v>59.5</v>
      </c>
      <c r="M16" s="82">
        <f t="shared" si="4"/>
        <v>25.5</v>
      </c>
      <c r="N16" s="79" t="s">
        <v>238</v>
      </c>
      <c r="O16" s="84">
        <f t="shared" si="5"/>
        <v>0.3</v>
      </c>
    </row>
    <row r="17" ht="22.5" customHeight="1">
      <c r="A17" s="79" t="s">
        <v>269</v>
      </c>
      <c r="B17" s="80">
        <v>44942.0</v>
      </c>
      <c r="C17" s="79" t="s">
        <v>270</v>
      </c>
      <c r="D17" s="79" t="s">
        <v>15</v>
      </c>
      <c r="E17" s="79" t="s">
        <v>229</v>
      </c>
      <c r="F17" s="79" t="s">
        <v>54</v>
      </c>
      <c r="G17" s="79">
        <v>2.0</v>
      </c>
      <c r="H17" s="81">
        <v>800.0</v>
      </c>
      <c r="I17" s="81">
        <f t="shared" si="1"/>
        <v>1600</v>
      </c>
      <c r="J17" s="82">
        <v>1400.0</v>
      </c>
      <c r="K17" s="83">
        <f t="shared" si="2"/>
        <v>0.125</v>
      </c>
      <c r="L17" s="82">
        <f t="shared" si="3"/>
        <v>980</v>
      </c>
      <c r="M17" s="82">
        <f t="shared" si="4"/>
        <v>420</v>
      </c>
      <c r="N17" s="79" t="s">
        <v>55</v>
      </c>
      <c r="O17" s="84">
        <f t="shared" si="5"/>
        <v>0.3</v>
      </c>
    </row>
    <row r="18" ht="22.5" customHeight="1">
      <c r="A18" s="79" t="s">
        <v>271</v>
      </c>
      <c r="B18" s="80">
        <v>44943.0</v>
      </c>
      <c r="C18" s="79" t="s">
        <v>272</v>
      </c>
      <c r="D18" s="79" t="s">
        <v>6</v>
      </c>
      <c r="E18" s="79" t="s">
        <v>232</v>
      </c>
      <c r="F18" s="79" t="s">
        <v>243</v>
      </c>
      <c r="G18" s="79">
        <v>2.0</v>
      </c>
      <c r="H18" s="81">
        <v>300.0</v>
      </c>
      <c r="I18" s="81">
        <f t="shared" si="1"/>
        <v>600</v>
      </c>
      <c r="J18" s="82">
        <v>400.0</v>
      </c>
      <c r="K18" s="83">
        <f t="shared" si="2"/>
        <v>0.3333333333</v>
      </c>
      <c r="L18" s="82">
        <f t="shared" si="3"/>
        <v>280</v>
      </c>
      <c r="M18" s="82">
        <f t="shared" si="4"/>
        <v>120</v>
      </c>
      <c r="N18" s="79" t="s">
        <v>57</v>
      </c>
      <c r="O18" s="84">
        <f t="shared" si="5"/>
        <v>0.3</v>
      </c>
    </row>
    <row r="19" ht="22.5" customHeight="1">
      <c r="A19" s="79" t="s">
        <v>273</v>
      </c>
      <c r="B19" s="80">
        <v>44944.0</v>
      </c>
      <c r="C19" s="79" t="s">
        <v>274</v>
      </c>
      <c r="D19" s="79" t="s">
        <v>9</v>
      </c>
      <c r="E19" s="79" t="s">
        <v>236</v>
      </c>
      <c r="F19" s="79" t="s">
        <v>246</v>
      </c>
      <c r="G19" s="79">
        <v>100.0</v>
      </c>
      <c r="H19" s="81">
        <v>2.0</v>
      </c>
      <c r="I19" s="81">
        <f t="shared" si="1"/>
        <v>200</v>
      </c>
      <c r="J19" s="82">
        <v>150.0</v>
      </c>
      <c r="K19" s="83">
        <f t="shared" si="2"/>
        <v>0.25</v>
      </c>
      <c r="L19" s="82">
        <f t="shared" si="3"/>
        <v>105</v>
      </c>
      <c r="M19" s="82">
        <f t="shared" si="4"/>
        <v>45</v>
      </c>
      <c r="N19" s="79" t="s">
        <v>55</v>
      </c>
      <c r="O19" s="84">
        <f t="shared" si="5"/>
        <v>0.3</v>
      </c>
    </row>
    <row r="20" ht="22.5" customHeight="1">
      <c r="A20" s="79" t="s">
        <v>275</v>
      </c>
      <c r="B20" s="80">
        <v>44945.0</v>
      </c>
      <c r="C20" s="79" t="s">
        <v>276</v>
      </c>
      <c r="D20" s="79" t="s">
        <v>12</v>
      </c>
      <c r="E20" s="79" t="s">
        <v>229</v>
      </c>
      <c r="F20" s="79" t="s">
        <v>63</v>
      </c>
      <c r="G20" s="79">
        <v>4.0</v>
      </c>
      <c r="H20" s="81">
        <v>250.0</v>
      </c>
      <c r="I20" s="81">
        <f t="shared" si="1"/>
        <v>1000</v>
      </c>
      <c r="J20" s="82">
        <v>900.0</v>
      </c>
      <c r="K20" s="83">
        <f t="shared" si="2"/>
        <v>0.1</v>
      </c>
      <c r="L20" s="82">
        <f t="shared" si="3"/>
        <v>630</v>
      </c>
      <c r="M20" s="82">
        <f t="shared" si="4"/>
        <v>270</v>
      </c>
      <c r="N20" s="79" t="s">
        <v>238</v>
      </c>
      <c r="O20" s="84">
        <f t="shared" si="5"/>
        <v>0.3</v>
      </c>
    </row>
    <row r="21" ht="22.5" customHeight="1">
      <c r="A21" s="79" t="s">
        <v>277</v>
      </c>
      <c r="B21" s="80">
        <v>44946.0</v>
      </c>
      <c r="C21" s="79" t="s">
        <v>278</v>
      </c>
      <c r="D21" s="79" t="s">
        <v>15</v>
      </c>
      <c r="E21" s="79" t="s">
        <v>232</v>
      </c>
      <c r="F21" s="79" t="s">
        <v>251</v>
      </c>
      <c r="G21" s="79">
        <v>2.0</v>
      </c>
      <c r="H21" s="81">
        <v>400.0</v>
      </c>
      <c r="I21" s="81">
        <f t="shared" si="1"/>
        <v>800</v>
      </c>
      <c r="J21" s="82">
        <v>750.0</v>
      </c>
      <c r="K21" s="83">
        <f t="shared" si="2"/>
        <v>0.0625</v>
      </c>
      <c r="L21" s="82">
        <f t="shared" si="3"/>
        <v>525</v>
      </c>
      <c r="M21" s="82">
        <f t="shared" si="4"/>
        <v>225</v>
      </c>
      <c r="N21" s="79" t="s">
        <v>55</v>
      </c>
      <c r="O21" s="84">
        <f t="shared" si="5"/>
        <v>0.3</v>
      </c>
    </row>
    <row r="22" ht="22.5" customHeight="1">
      <c r="A22" s="79" t="s">
        <v>279</v>
      </c>
      <c r="B22" s="80">
        <v>44947.0</v>
      </c>
      <c r="C22" s="79" t="s">
        <v>280</v>
      </c>
      <c r="D22" s="79" t="s">
        <v>6</v>
      </c>
      <c r="E22" s="79" t="s">
        <v>236</v>
      </c>
      <c r="F22" s="79" t="s">
        <v>254</v>
      </c>
      <c r="G22" s="79">
        <v>30.0</v>
      </c>
      <c r="H22" s="81">
        <v>5.0</v>
      </c>
      <c r="I22" s="81">
        <f t="shared" si="1"/>
        <v>150</v>
      </c>
      <c r="J22" s="82">
        <v>110.0</v>
      </c>
      <c r="K22" s="83">
        <f t="shared" si="2"/>
        <v>0.2666666667</v>
      </c>
      <c r="L22" s="82">
        <f t="shared" si="3"/>
        <v>77</v>
      </c>
      <c r="M22" s="82">
        <f t="shared" si="4"/>
        <v>33</v>
      </c>
      <c r="N22" s="79" t="s">
        <v>57</v>
      </c>
      <c r="O22" s="84">
        <f t="shared" si="5"/>
        <v>0.3</v>
      </c>
    </row>
    <row r="23" ht="22.5" customHeight="1">
      <c r="A23" s="79" t="s">
        <v>281</v>
      </c>
      <c r="B23" s="80">
        <v>44948.0</v>
      </c>
      <c r="C23" s="79" t="s">
        <v>282</v>
      </c>
      <c r="D23" s="79" t="s">
        <v>9</v>
      </c>
      <c r="E23" s="79" t="s">
        <v>229</v>
      </c>
      <c r="F23" s="79" t="s">
        <v>13</v>
      </c>
      <c r="G23" s="79">
        <v>1.0</v>
      </c>
      <c r="H23" s="81">
        <v>400.0</v>
      </c>
      <c r="I23" s="81">
        <f t="shared" si="1"/>
        <v>400</v>
      </c>
      <c r="J23" s="82">
        <v>350.0</v>
      </c>
      <c r="K23" s="83">
        <f t="shared" si="2"/>
        <v>0.125</v>
      </c>
      <c r="L23" s="82">
        <f t="shared" si="3"/>
        <v>245</v>
      </c>
      <c r="M23" s="82">
        <f t="shared" si="4"/>
        <v>105</v>
      </c>
      <c r="N23" s="79" t="s">
        <v>55</v>
      </c>
      <c r="O23" s="84">
        <f t="shared" si="5"/>
        <v>0.3</v>
      </c>
    </row>
    <row r="24" ht="22.5" customHeight="1">
      <c r="A24" s="79" t="s">
        <v>283</v>
      </c>
      <c r="B24" s="80">
        <v>44949.0</v>
      </c>
      <c r="C24" s="79" t="s">
        <v>284</v>
      </c>
      <c r="D24" s="79" t="s">
        <v>12</v>
      </c>
      <c r="E24" s="79" t="s">
        <v>232</v>
      </c>
      <c r="F24" s="79" t="s">
        <v>259</v>
      </c>
      <c r="G24" s="79">
        <v>2.0</v>
      </c>
      <c r="H24" s="81">
        <v>900.0</v>
      </c>
      <c r="I24" s="81">
        <f t="shared" si="1"/>
        <v>1800</v>
      </c>
      <c r="J24" s="82">
        <v>900.0</v>
      </c>
      <c r="K24" s="83">
        <f t="shared" si="2"/>
        <v>0.5</v>
      </c>
      <c r="L24" s="82">
        <f t="shared" si="3"/>
        <v>630</v>
      </c>
      <c r="M24" s="82">
        <f t="shared" si="4"/>
        <v>270</v>
      </c>
      <c r="N24" s="79" t="s">
        <v>238</v>
      </c>
      <c r="O24" s="84">
        <f t="shared" si="5"/>
        <v>0.3</v>
      </c>
    </row>
    <row r="25" ht="22.5" customHeight="1">
      <c r="A25" s="79" t="s">
        <v>285</v>
      </c>
      <c r="B25" s="80">
        <v>44950.0</v>
      </c>
      <c r="C25" s="79" t="s">
        <v>286</v>
      </c>
      <c r="D25" s="79" t="s">
        <v>15</v>
      </c>
      <c r="E25" s="79" t="s">
        <v>236</v>
      </c>
      <c r="F25" s="79" t="s">
        <v>262</v>
      </c>
      <c r="G25" s="79">
        <v>20.0</v>
      </c>
      <c r="H25" s="81">
        <v>10.0</v>
      </c>
      <c r="I25" s="81">
        <f t="shared" si="1"/>
        <v>200</v>
      </c>
      <c r="J25" s="82">
        <v>160.0</v>
      </c>
      <c r="K25" s="83">
        <f t="shared" si="2"/>
        <v>0.2</v>
      </c>
      <c r="L25" s="82">
        <f t="shared" si="3"/>
        <v>112</v>
      </c>
      <c r="M25" s="82">
        <f t="shared" si="4"/>
        <v>48</v>
      </c>
      <c r="N25" s="79" t="s">
        <v>55</v>
      </c>
      <c r="O25" s="84">
        <f t="shared" si="5"/>
        <v>0.3</v>
      </c>
    </row>
    <row r="26" ht="22.5" customHeight="1">
      <c r="A26" s="79" t="s">
        <v>287</v>
      </c>
      <c r="B26" s="80">
        <v>44951.0</v>
      </c>
      <c r="C26" s="79" t="s">
        <v>288</v>
      </c>
      <c r="D26" s="79" t="s">
        <v>6</v>
      </c>
      <c r="E26" s="79" t="s">
        <v>229</v>
      </c>
      <c r="F26" s="79" t="s">
        <v>7</v>
      </c>
      <c r="G26" s="79">
        <v>3.0</v>
      </c>
      <c r="H26" s="81">
        <v>1200.0</v>
      </c>
      <c r="I26" s="81">
        <f t="shared" si="1"/>
        <v>3600</v>
      </c>
      <c r="J26" s="82">
        <v>3300.0</v>
      </c>
      <c r="K26" s="83">
        <f t="shared" si="2"/>
        <v>0.08333333333</v>
      </c>
      <c r="L26" s="82">
        <f t="shared" si="3"/>
        <v>2310</v>
      </c>
      <c r="M26" s="82">
        <f t="shared" si="4"/>
        <v>990</v>
      </c>
      <c r="N26" s="79" t="s">
        <v>57</v>
      </c>
      <c r="O26" s="84">
        <f t="shared" si="5"/>
        <v>0.3</v>
      </c>
    </row>
    <row r="27" ht="22.5" customHeight="1">
      <c r="A27" s="79" t="s">
        <v>289</v>
      </c>
      <c r="B27" s="80">
        <v>44952.0</v>
      </c>
      <c r="C27" s="79" t="s">
        <v>290</v>
      </c>
      <c r="D27" s="79" t="s">
        <v>9</v>
      </c>
      <c r="E27" s="79" t="s">
        <v>232</v>
      </c>
      <c r="F27" s="79" t="s">
        <v>233</v>
      </c>
      <c r="G27" s="79">
        <v>8.0</v>
      </c>
      <c r="H27" s="81">
        <v>150.0</v>
      </c>
      <c r="I27" s="81">
        <f t="shared" si="1"/>
        <v>1200</v>
      </c>
      <c r="J27" s="82">
        <v>1100.0</v>
      </c>
      <c r="K27" s="83">
        <f t="shared" si="2"/>
        <v>0.08333333333</v>
      </c>
      <c r="L27" s="82">
        <f t="shared" si="3"/>
        <v>770</v>
      </c>
      <c r="M27" s="82">
        <f t="shared" si="4"/>
        <v>330</v>
      </c>
      <c r="N27" s="79" t="s">
        <v>55</v>
      </c>
      <c r="O27" s="84">
        <f t="shared" si="5"/>
        <v>0.3</v>
      </c>
    </row>
    <row r="28" ht="22.5" customHeight="1">
      <c r="A28" s="79" t="s">
        <v>291</v>
      </c>
      <c r="B28" s="80">
        <v>44953.0</v>
      </c>
      <c r="C28" s="79" t="s">
        <v>292</v>
      </c>
      <c r="D28" s="79" t="s">
        <v>12</v>
      </c>
      <c r="E28" s="79" t="s">
        <v>236</v>
      </c>
      <c r="F28" s="79" t="s">
        <v>237</v>
      </c>
      <c r="G28" s="79">
        <v>15.0</v>
      </c>
      <c r="H28" s="81">
        <v>20.0</v>
      </c>
      <c r="I28" s="81">
        <f t="shared" si="1"/>
        <v>300</v>
      </c>
      <c r="J28" s="82">
        <v>200.0</v>
      </c>
      <c r="K28" s="83">
        <f t="shared" si="2"/>
        <v>0.3333333333</v>
      </c>
      <c r="L28" s="82">
        <f t="shared" si="3"/>
        <v>140</v>
      </c>
      <c r="M28" s="82">
        <f t="shared" si="4"/>
        <v>60</v>
      </c>
      <c r="N28" s="79" t="s">
        <v>238</v>
      </c>
      <c r="O28" s="84">
        <f t="shared" si="5"/>
        <v>0.3</v>
      </c>
    </row>
    <row r="29" ht="22.5" customHeight="1">
      <c r="A29" s="79" t="s">
        <v>293</v>
      </c>
      <c r="B29" s="80">
        <v>44954.0</v>
      </c>
      <c r="C29" s="79" t="s">
        <v>294</v>
      </c>
      <c r="D29" s="79" t="s">
        <v>15</v>
      </c>
      <c r="E29" s="79" t="s">
        <v>229</v>
      </c>
      <c r="F29" s="79" t="s">
        <v>54</v>
      </c>
      <c r="G29" s="79">
        <v>3.0</v>
      </c>
      <c r="H29" s="81">
        <v>800.0</v>
      </c>
      <c r="I29" s="81">
        <f t="shared" si="1"/>
        <v>2400</v>
      </c>
      <c r="J29" s="82">
        <v>2200.0</v>
      </c>
      <c r="K29" s="83">
        <f t="shared" si="2"/>
        <v>0.08333333333</v>
      </c>
      <c r="L29" s="82">
        <f t="shared" si="3"/>
        <v>1540</v>
      </c>
      <c r="M29" s="82">
        <f t="shared" si="4"/>
        <v>660</v>
      </c>
      <c r="N29" s="79" t="s">
        <v>55</v>
      </c>
      <c r="O29" s="84">
        <f t="shared" si="5"/>
        <v>0.3</v>
      </c>
    </row>
    <row r="30" ht="22.5" customHeight="1">
      <c r="A30" s="79" t="s">
        <v>295</v>
      </c>
      <c r="B30" s="80">
        <v>44955.0</v>
      </c>
      <c r="C30" s="79" t="s">
        <v>296</v>
      </c>
      <c r="D30" s="79" t="s">
        <v>6</v>
      </c>
      <c r="E30" s="79" t="s">
        <v>232</v>
      </c>
      <c r="F30" s="79" t="s">
        <v>243</v>
      </c>
      <c r="G30" s="79">
        <v>3.0</v>
      </c>
      <c r="H30" s="81">
        <v>300.0</v>
      </c>
      <c r="I30" s="81">
        <f t="shared" si="1"/>
        <v>900</v>
      </c>
      <c r="J30" s="82">
        <v>700.0</v>
      </c>
      <c r="K30" s="83">
        <f t="shared" si="2"/>
        <v>0.2222222222</v>
      </c>
      <c r="L30" s="82">
        <f t="shared" si="3"/>
        <v>490</v>
      </c>
      <c r="M30" s="82">
        <f t="shared" si="4"/>
        <v>210</v>
      </c>
      <c r="N30" s="79" t="s">
        <v>57</v>
      </c>
      <c r="O30" s="84">
        <f t="shared" si="5"/>
        <v>0.3</v>
      </c>
    </row>
    <row r="31" ht="22.5" customHeight="1">
      <c r="A31" s="79" t="s">
        <v>297</v>
      </c>
      <c r="B31" s="80">
        <v>44956.0</v>
      </c>
      <c r="C31" s="79" t="s">
        <v>298</v>
      </c>
      <c r="D31" s="79" t="s">
        <v>9</v>
      </c>
      <c r="E31" s="79" t="s">
        <v>236</v>
      </c>
      <c r="F31" s="79" t="s">
        <v>246</v>
      </c>
      <c r="G31" s="79">
        <v>200.0</v>
      </c>
      <c r="H31" s="81">
        <v>2.0</v>
      </c>
      <c r="I31" s="81">
        <f t="shared" si="1"/>
        <v>400</v>
      </c>
      <c r="J31" s="82">
        <v>200.0</v>
      </c>
      <c r="K31" s="83">
        <f t="shared" si="2"/>
        <v>0.5</v>
      </c>
      <c r="L31" s="82">
        <f t="shared" si="3"/>
        <v>140</v>
      </c>
      <c r="M31" s="82">
        <f t="shared" si="4"/>
        <v>60</v>
      </c>
      <c r="N31" s="79" t="s">
        <v>55</v>
      </c>
      <c r="O31" s="84">
        <f t="shared" si="5"/>
        <v>0.3</v>
      </c>
    </row>
    <row r="32" ht="22.5" customHeight="1">
      <c r="A32" s="79" t="s">
        <v>299</v>
      </c>
      <c r="B32" s="80">
        <v>44957.0</v>
      </c>
      <c r="C32" s="79" t="s">
        <v>300</v>
      </c>
      <c r="D32" s="79" t="s">
        <v>12</v>
      </c>
      <c r="E32" s="79" t="s">
        <v>229</v>
      </c>
      <c r="F32" s="79" t="s">
        <v>63</v>
      </c>
      <c r="G32" s="79">
        <v>1.0</v>
      </c>
      <c r="H32" s="81">
        <v>250.0</v>
      </c>
      <c r="I32" s="81">
        <f t="shared" si="1"/>
        <v>250</v>
      </c>
      <c r="J32" s="82">
        <v>190.0</v>
      </c>
      <c r="K32" s="83">
        <f t="shared" si="2"/>
        <v>0.24</v>
      </c>
      <c r="L32" s="82">
        <f t="shared" si="3"/>
        <v>133</v>
      </c>
      <c r="M32" s="82">
        <f t="shared" si="4"/>
        <v>57</v>
      </c>
      <c r="N32" s="79" t="s">
        <v>238</v>
      </c>
      <c r="O32" s="84">
        <f t="shared" si="5"/>
        <v>0.3</v>
      </c>
    </row>
    <row r="33" ht="22.5" customHeight="1">
      <c r="A33" s="79" t="s">
        <v>301</v>
      </c>
      <c r="B33" s="80">
        <v>44958.0</v>
      </c>
      <c r="C33" s="79" t="s">
        <v>302</v>
      </c>
      <c r="D33" s="79" t="s">
        <v>15</v>
      </c>
      <c r="E33" s="79" t="s">
        <v>232</v>
      </c>
      <c r="F33" s="79" t="s">
        <v>251</v>
      </c>
      <c r="G33" s="79">
        <v>3.0</v>
      </c>
      <c r="H33" s="81">
        <v>400.0</v>
      </c>
      <c r="I33" s="81">
        <f t="shared" si="1"/>
        <v>1200</v>
      </c>
      <c r="J33" s="82">
        <v>1000.0</v>
      </c>
      <c r="K33" s="83">
        <f t="shared" si="2"/>
        <v>0.1666666667</v>
      </c>
      <c r="L33" s="82">
        <f t="shared" si="3"/>
        <v>700</v>
      </c>
      <c r="M33" s="82">
        <f t="shared" si="4"/>
        <v>300</v>
      </c>
      <c r="N33" s="79" t="s">
        <v>55</v>
      </c>
      <c r="O33" s="84">
        <f t="shared" si="5"/>
        <v>0.3</v>
      </c>
    </row>
    <row r="34" ht="22.5" customHeight="1">
      <c r="A34" s="79" t="s">
        <v>303</v>
      </c>
      <c r="B34" s="80">
        <v>44959.0</v>
      </c>
      <c r="C34" s="79" t="s">
        <v>304</v>
      </c>
      <c r="D34" s="79" t="s">
        <v>6</v>
      </c>
      <c r="E34" s="79" t="s">
        <v>236</v>
      </c>
      <c r="F34" s="79" t="s">
        <v>254</v>
      </c>
      <c r="G34" s="79">
        <v>40.0</v>
      </c>
      <c r="H34" s="81">
        <v>5.0</v>
      </c>
      <c r="I34" s="81">
        <f t="shared" si="1"/>
        <v>200</v>
      </c>
      <c r="J34" s="82">
        <v>170.0</v>
      </c>
      <c r="K34" s="83">
        <f t="shared" si="2"/>
        <v>0.15</v>
      </c>
      <c r="L34" s="82">
        <f t="shared" si="3"/>
        <v>119</v>
      </c>
      <c r="M34" s="82">
        <f t="shared" si="4"/>
        <v>51</v>
      </c>
      <c r="N34" s="79" t="s">
        <v>57</v>
      </c>
      <c r="O34" s="84">
        <f t="shared" si="5"/>
        <v>0.3</v>
      </c>
    </row>
    <row r="35" ht="22.5" customHeight="1">
      <c r="A35" s="79" t="s">
        <v>305</v>
      </c>
      <c r="B35" s="80">
        <v>44960.0</v>
      </c>
      <c r="C35" s="79" t="s">
        <v>306</v>
      </c>
      <c r="D35" s="79" t="s">
        <v>9</v>
      </c>
      <c r="E35" s="79" t="s">
        <v>229</v>
      </c>
      <c r="F35" s="79" t="s">
        <v>13</v>
      </c>
      <c r="G35" s="79">
        <v>2.0</v>
      </c>
      <c r="H35" s="81">
        <v>400.0</v>
      </c>
      <c r="I35" s="81">
        <f t="shared" si="1"/>
        <v>800</v>
      </c>
      <c r="J35" s="82">
        <v>700.0</v>
      </c>
      <c r="K35" s="83">
        <f t="shared" si="2"/>
        <v>0.125</v>
      </c>
      <c r="L35" s="82">
        <f t="shared" si="3"/>
        <v>490</v>
      </c>
      <c r="M35" s="82">
        <f t="shared" si="4"/>
        <v>210</v>
      </c>
      <c r="N35" s="79" t="s">
        <v>55</v>
      </c>
      <c r="O35" s="84">
        <f t="shared" si="5"/>
        <v>0.3</v>
      </c>
    </row>
    <row r="36" ht="22.5" customHeight="1">
      <c r="A36" s="79" t="s">
        <v>307</v>
      </c>
      <c r="B36" s="80">
        <v>44961.0</v>
      </c>
      <c r="C36" s="79" t="s">
        <v>308</v>
      </c>
      <c r="D36" s="79" t="s">
        <v>12</v>
      </c>
      <c r="E36" s="79" t="s">
        <v>232</v>
      </c>
      <c r="F36" s="79" t="s">
        <v>259</v>
      </c>
      <c r="G36" s="79">
        <v>3.0</v>
      </c>
      <c r="H36" s="81">
        <v>900.0</v>
      </c>
      <c r="I36" s="81">
        <f t="shared" si="1"/>
        <v>2700</v>
      </c>
      <c r="J36" s="82">
        <v>2400.0</v>
      </c>
      <c r="K36" s="83">
        <f t="shared" si="2"/>
        <v>0.1111111111</v>
      </c>
      <c r="L36" s="82">
        <f t="shared" si="3"/>
        <v>1680</v>
      </c>
      <c r="M36" s="82">
        <f t="shared" si="4"/>
        <v>720</v>
      </c>
      <c r="N36" s="79" t="s">
        <v>238</v>
      </c>
      <c r="O36" s="84">
        <f t="shared" si="5"/>
        <v>0.3</v>
      </c>
    </row>
    <row r="37" ht="22.5" customHeight="1">
      <c r="A37" s="79" t="s">
        <v>309</v>
      </c>
      <c r="B37" s="80">
        <v>44962.0</v>
      </c>
      <c r="C37" s="79" t="s">
        <v>310</v>
      </c>
      <c r="D37" s="79" t="s">
        <v>15</v>
      </c>
      <c r="E37" s="79" t="s">
        <v>236</v>
      </c>
      <c r="F37" s="79" t="s">
        <v>262</v>
      </c>
      <c r="G37" s="79">
        <v>25.0</v>
      </c>
      <c r="H37" s="81">
        <v>10.0</v>
      </c>
      <c r="I37" s="81">
        <f t="shared" si="1"/>
        <v>250</v>
      </c>
      <c r="J37" s="82">
        <v>220.0</v>
      </c>
      <c r="K37" s="83">
        <f t="shared" si="2"/>
        <v>0.12</v>
      </c>
      <c r="L37" s="82">
        <f t="shared" si="3"/>
        <v>154</v>
      </c>
      <c r="M37" s="82">
        <f t="shared" si="4"/>
        <v>66</v>
      </c>
      <c r="N37" s="79" t="s">
        <v>55</v>
      </c>
      <c r="O37" s="84">
        <f t="shared" si="5"/>
        <v>0.3</v>
      </c>
    </row>
    <row r="38" ht="22.5" customHeight="1">
      <c r="A38" s="79" t="s">
        <v>311</v>
      </c>
      <c r="B38" s="80">
        <v>44963.0</v>
      </c>
      <c r="C38" s="79" t="s">
        <v>312</v>
      </c>
      <c r="D38" s="79" t="s">
        <v>6</v>
      </c>
      <c r="E38" s="79" t="s">
        <v>229</v>
      </c>
      <c r="F38" s="79" t="s">
        <v>7</v>
      </c>
      <c r="G38" s="79">
        <v>4.0</v>
      </c>
      <c r="H38" s="81">
        <v>1200.0</v>
      </c>
      <c r="I38" s="81">
        <f t="shared" si="1"/>
        <v>4800</v>
      </c>
      <c r="J38" s="82">
        <v>4400.0</v>
      </c>
      <c r="K38" s="83">
        <f t="shared" si="2"/>
        <v>0.08333333333</v>
      </c>
      <c r="L38" s="82">
        <f t="shared" si="3"/>
        <v>3080</v>
      </c>
      <c r="M38" s="82">
        <f t="shared" si="4"/>
        <v>1320</v>
      </c>
      <c r="N38" s="79" t="s">
        <v>57</v>
      </c>
      <c r="O38" s="84">
        <f t="shared" si="5"/>
        <v>0.3</v>
      </c>
    </row>
    <row r="39" ht="22.5" customHeight="1">
      <c r="A39" s="79" t="s">
        <v>313</v>
      </c>
      <c r="B39" s="80">
        <v>44964.0</v>
      </c>
      <c r="C39" s="79" t="s">
        <v>314</v>
      </c>
      <c r="D39" s="79" t="s">
        <v>9</v>
      </c>
      <c r="E39" s="79" t="s">
        <v>232</v>
      </c>
      <c r="F39" s="79" t="s">
        <v>233</v>
      </c>
      <c r="G39" s="79">
        <v>10.0</v>
      </c>
      <c r="H39" s="81">
        <v>150.0</v>
      </c>
      <c r="I39" s="81">
        <f t="shared" si="1"/>
        <v>1500</v>
      </c>
      <c r="J39" s="82">
        <v>1100.0</v>
      </c>
      <c r="K39" s="83">
        <f t="shared" si="2"/>
        <v>0.2666666667</v>
      </c>
      <c r="L39" s="82">
        <f t="shared" si="3"/>
        <v>770</v>
      </c>
      <c r="M39" s="82">
        <f t="shared" si="4"/>
        <v>330</v>
      </c>
      <c r="N39" s="79" t="s">
        <v>55</v>
      </c>
      <c r="O39" s="84">
        <f t="shared" si="5"/>
        <v>0.3</v>
      </c>
    </row>
    <row r="40" ht="22.5" customHeight="1">
      <c r="A40" s="79" t="s">
        <v>315</v>
      </c>
      <c r="B40" s="80">
        <v>44965.0</v>
      </c>
      <c r="C40" s="79" t="s">
        <v>316</v>
      </c>
      <c r="D40" s="79" t="s">
        <v>12</v>
      </c>
      <c r="E40" s="79" t="s">
        <v>236</v>
      </c>
      <c r="F40" s="79" t="s">
        <v>237</v>
      </c>
      <c r="G40" s="79">
        <v>20.0</v>
      </c>
      <c r="H40" s="81">
        <v>20.0</v>
      </c>
      <c r="I40" s="81">
        <f t="shared" si="1"/>
        <v>400</v>
      </c>
      <c r="J40" s="82">
        <v>300.0</v>
      </c>
      <c r="K40" s="83">
        <f t="shared" si="2"/>
        <v>0.25</v>
      </c>
      <c r="L40" s="82">
        <f t="shared" si="3"/>
        <v>210</v>
      </c>
      <c r="M40" s="82">
        <f t="shared" si="4"/>
        <v>90</v>
      </c>
      <c r="N40" s="79" t="s">
        <v>238</v>
      </c>
      <c r="O40" s="84">
        <f t="shared" si="5"/>
        <v>0.3</v>
      </c>
    </row>
    <row r="41" ht="22.5" customHeight="1">
      <c r="A41" s="79" t="s">
        <v>317</v>
      </c>
      <c r="B41" s="80">
        <v>44966.0</v>
      </c>
      <c r="C41" s="79" t="s">
        <v>318</v>
      </c>
      <c r="D41" s="79" t="s">
        <v>15</v>
      </c>
      <c r="E41" s="79" t="s">
        <v>229</v>
      </c>
      <c r="F41" s="79" t="s">
        <v>54</v>
      </c>
      <c r="G41" s="79">
        <v>4.0</v>
      </c>
      <c r="H41" s="81">
        <v>800.0</v>
      </c>
      <c r="I41" s="81">
        <f t="shared" si="1"/>
        <v>3200</v>
      </c>
      <c r="J41" s="82">
        <v>3000.0</v>
      </c>
      <c r="K41" s="83">
        <f t="shared" si="2"/>
        <v>0.0625</v>
      </c>
      <c r="L41" s="82">
        <f t="shared" si="3"/>
        <v>2100</v>
      </c>
      <c r="M41" s="82">
        <f t="shared" si="4"/>
        <v>900</v>
      </c>
      <c r="N41" s="79" t="s">
        <v>55</v>
      </c>
      <c r="O41" s="84">
        <f t="shared" si="5"/>
        <v>0.3</v>
      </c>
    </row>
    <row r="42" ht="22.5" customHeight="1">
      <c r="A42" s="79" t="s">
        <v>319</v>
      </c>
      <c r="B42" s="80">
        <v>44967.0</v>
      </c>
      <c r="C42" s="79" t="s">
        <v>320</v>
      </c>
      <c r="D42" s="79" t="s">
        <v>6</v>
      </c>
      <c r="E42" s="79" t="s">
        <v>232</v>
      </c>
      <c r="F42" s="79" t="s">
        <v>243</v>
      </c>
      <c r="G42" s="79">
        <v>4.0</v>
      </c>
      <c r="H42" s="81">
        <v>300.0</v>
      </c>
      <c r="I42" s="81">
        <f t="shared" si="1"/>
        <v>1200</v>
      </c>
      <c r="J42" s="82">
        <v>1000.0</v>
      </c>
      <c r="K42" s="83">
        <f t="shared" si="2"/>
        <v>0.1666666667</v>
      </c>
      <c r="L42" s="82">
        <f t="shared" si="3"/>
        <v>700</v>
      </c>
      <c r="M42" s="82">
        <f t="shared" si="4"/>
        <v>300</v>
      </c>
      <c r="N42" s="79" t="s">
        <v>57</v>
      </c>
      <c r="O42" s="84">
        <f t="shared" si="5"/>
        <v>0.3</v>
      </c>
    </row>
    <row r="43" ht="22.5" customHeight="1">
      <c r="A43" s="79" t="s">
        <v>321</v>
      </c>
      <c r="B43" s="80">
        <v>44968.0</v>
      </c>
      <c r="C43" s="79" t="s">
        <v>322</v>
      </c>
      <c r="D43" s="79" t="s">
        <v>9</v>
      </c>
      <c r="E43" s="79" t="s">
        <v>236</v>
      </c>
      <c r="F43" s="79" t="s">
        <v>246</v>
      </c>
      <c r="G43" s="79">
        <v>300.0</v>
      </c>
      <c r="H43" s="81">
        <v>2.0</v>
      </c>
      <c r="I43" s="81">
        <f t="shared" si="1"/>
        <v>600</v>
      </c>
      <c r="J43" s="82">
        <v>500.0</v>
      </c>
      <c r="K43" s="83">
        <f t="shared" si="2"/>
        <v>0.1666666667</v>
      </c>
      <c r="L43" s="82">
        <f t="shared" si="3"/>
        <v>350</v>
      </c>
      <c r="M43" s="82">
        <f t="shared" si="4"/>
        <v>150</v>
      </c>
      <c r="N43" s="79" t="s">
        <v>55</v>
      </c>
      <c r="O43" s="84">
        <f t="shared" si="5"/>
        <v>0.3</v>
      </c>
    </row>
    <row r="44" ht="22.5" customHeight="1">
      <c r="A44" s="79" t="s">
        <v>323</v>
      </c>
      <c r="B44" s="80">
        <v>44969.0</v>
      </c>
      <c r="C44" s="79" t="s">
        <v>324</v>
      </c>
      <c r="D44" s="79" t="s">
        <v>12</v>
      </c>
      <c r="E44" s="79" t="s">
        <v>229</v>
      </c>
      <c r="F44" s="79" t="s">
        <v>63</v>
      </c>
      <c r="G44" s="79">
        <v>5.0</v>
      </c>
      <c r="H44" s="81">
        <v>250.0</v>
      </c>
      <c r="I44" s="81">
        <f t="shared" si="1"/>
        <v>1250</v>
      </c>
      <c r="J44" s="82">
        <v>1100.0</v>
      </c>
      <c r="K44" s="83">
        <f t="shared" si="2"/>
        <v>0.12</v>
      </c>
      <c r="L44" s="82">
        <f t="shared" si="3"/>
        <v>770</v>
      </c>
      <c r="M44" s="82">
        <f t="shared" si="4"/>
        <v>330</v>
      </c>
      <c r="N44" s="79" t="s">
        <v>238</v>
      </c>
      <c r="O44" s="84">
        <f t="shared" si="5"/>
        <v>0.3</v>
      </c>
    </row>
    <row r="45" ht="22.5" customHeight="1">
      <c r="A45" s="79" t="s">
        <v>325</v>
      </c>
      <c r="B45" s="80">
        <v>44970.0</v>
      </c>
      <c r="C45" s="79" t="s">
        <v>326</v>
      </c>
      <c r="D45" s="79" t="s">
        <v>15</v>
      </c>
      <c r="E45" s="79" t="s">
        <v>232</v>
      </c>
      <c r="F45" s="79" t="s">
        <v>251</v>
      </c>
      <c r="G45" s="79">
        <v>4.0</v>
      </c>
      <c r="H45" s="81">
        <v>400.0</v>
      </c>
      <c r="I45" s="81">
        <f t="shared" si="1"/>
        <v>1600</v>
      </c>
      <c r="J45" s="82">
        <v>1450.0</v>
      </c>
      <c r="K45" s="83">
        <f t="shared" si="2"/>
        <v>0.09375</v>
      </c>
      <c r="L45" s="82">
        <f t="shared" si="3"/>
        <v>1015</v>
      </c>
      <c r="M45" s="82">
        <f t="shared" si="4"/>
        <v>435</v>
      </c>
      <c r="N45" s="79" t="s">
        <v>55</v>
      </c>
      <c r="O45" s="84">
        <f t="shared" si="5"/>
        <v>0.3</v>
      </c>
    </row>
    <row r="46" ht="22.5" customHeight="1">
      <c r="A46" s="79" t="s">
        <v>327</v>
      </c>
      <c r="B46" s="80">
        <v>44971.0</v>
      </c>
      <c r="C46" s="79" t="s">
        <v>328</v>
      </c>
      <c r="D46" s="79" t="s">
        <v>6</v>
      </c>
      <c r="E46" s="79" t="s">
        <v>236</v>
      </c>
      <c r="F46" s="79" t="s">
        <v>254</v>
      </c>
      <c r="G46" s="79">
        <v>50.0</v>
      </c>
      <c r="H46" s="81">
        <v>5.0</v>
      </c>
      <c r="I46" s="81">
        <f t="shared" si="1"/>
        <v>250</v>
      </c>
      <c r="J46" s="82">
        <v>180.0</v>
      </c>
      <c r="K46" s="83">
        <f t="shared" si="2"/>
        <v>0.28</v>
      </c>
      <c r="L46" s="82">
        <f t="shared" si="3"/>
        <v>126</v>
      </c>
      <c r="M46" s="82">
        <f t="shared" si="4"/>
        <v>54</v>
      </c>
      <c r="N46" s="79" t="s">
        <v>57</v>
      </c>
      <c r="O46" s="84">
        <f t="shared" si="5"/>
        <v>0.3</v>
      </c>
    </row>
    <row r="47" ht="22.5" customHeight="1">
      <c r="A47" s="79" t="s">
        <v>329</v>
      </c>
      <c r="B47" s="80">
        <v>44972.0</v>
      </c>
      <c r="C47" s="79" t="s">
        <v>330</v>
      </c>
      <c r="D47" s="79" t="s">
        <v>9</v>
      </c>
      <c r="E47" s="79" t="s">
        <v>229</v>
      </c>
      <c r="F47" s="79" t="s">
        <v>13</v>
      </c>
      <c r="G47" s="79">
        <v>4.0</v>
      </c>
      <c r="H47" s="81">
        <v>400.0</v>
      </c>
      <c r="I47" s="81">
        <f t="shared" si="1"/>
        <v>1600</v>
      </c>
      <c r="J47" s="82">
        <v>1350.0</v>
      </c>
      <c r="K47" s="83">
        <f t="shared" si="2"/>
        <v>0.15625</v>
      </c>
      <c r="L47" s="82">
        <f t="shared" si="3"/>
        <v>945</v>
      </c>
      <c r="M47" s="82">
        <f t="shared" si="4"/>
        <v>405</v>
      </c>
      <c r="N47" s="79" t="s">
        <v>55</v>
      </c>
      <c r="O47" s="84">
        <f t="shared" si="5"/>
        <v>0.3</v>
      </c>
    </row>
    <row r="48" ht="22.5" customHeight="1">
      <c r="A48" s="79" t="s">
        <v>331</v>
      </c>
      <c r="B48" s="80">
        <v>44973.0</v>
      </c>
      <c r="C48" s="79" t="s">
        <v>332</v>
      </c>
      <c r="D48" s="79" t="s">
        <v>12</v>
      </c>
      <c r="E48" s="79" t="s">
        <v>232</v>
      </c>
      <c r="F48" s="79" t="s">
        <v>259</v>
      </c>
      <c r="G48" s="79">
        <v>4.0</v>
      </c>
      <c r="H48" s="81">
        <v>900.0</v>
      </c>
      <c r="I48" s="81">
        <f t="shared" si="1"/>
        <v>3600</v>
      </c>
      <c r="J48" s="82">
        <v>3200.0</v>
      </c>
      <c r="K48" s="83">
        <f t="shared" si="2"/>
        <v>0.1111111111</v>
      </c>
      <c r="L48" s="82">
        <f t="shared" si="3"/>
        <v>2240</v>
      </c>
      <c r="M48" s="82">
        <f t="shared" si="4"/>
        <v>960</v>
      </c>
      <c r="N48" s="79" t="s">
        <v>238</v>
      </c>
      <c r="O48" s="84">
        <f t="shared" si="5"/>
        <v>0.3</v>
      </c>
    </row>
    <row r="49" ht="22.5" customHeight="1">
      <c r="A49" s="79" t="s">
        <v>333</v>
      </c>
      <c r="B49" s="80">
        <v>44974.0</v>
      </c>
      <c r="C49" s="79" t="s">
        <v>334</v>
      </c>
      <c r="D49" s="79" t="s">
        <v>15</v>
      </c>
      <c r="E49" s="79" t="s">
        <v>236</v>
      </c>
      <c r="F49" s="79" t="s">
        <v>262</v>
      </c>
      <c r="G49" s="79">
        <v>30.0</v>
      </c>
      <c r="H49" s="81">
        <v>10.0</v>
      </c>
      <c r="I49" s="81">
        <f t="shared" si="1"/>
        <v>300</v>
      </c>
      <c r="J49" s="82">
        <v>220.0</v>
      </c>
      <c r="K49" s="83">
        <f t="shared" si="2"/>
        <v>0.2666666667</v>
      </c>
      <c r="L49" s="82">
        <f t="shared" si="3"/>
        <v>154</v>
      </c>
      <c r="M49" s="82">
        <f t="shared" si="4"/>
        <v>66</v>
      </c>
      <c r="N49" s="79" t="s">
        <v>55</v>
      </c>
      <c r="O49" s="84">
        <f t="shared" si="5"/>
        <v>0.3</v>
      </c>
    </row>
    <row r="50" ht="22.5" customHeight="1">
      <c r="A50" s="79" t="s">
        <v>335</v>
      </c>
      <c r="B50" s="80">
        <v>44975.0</v>
      </c>
      <c r="C50" s="79" t="s">
        <v>336</v>
      </c>
      <c r="D50" s="79" t="s">
        <v>6</v>
      </c>
      <c r="E50" s="79" t="s">
        <v>229</v>
      </c>
      <c r="F50" s="79" t="s">
        <v>7</v>
      </c>
      <c r="G50" s="79">
        <v>5.0</v>
      </c>
      <c r="H50" s="81">
        <v>1200.0</v>
      </c>
      <c r="I50" s="81">
        <f t="shared" si="1"/>
        <v>6000</v>
      </c>
      <c r="J50" s="82">
        <v>4500.0</v>
      </c>
      <c r="K50" s="83">
        <f t="shared" si="2"/>
        <v>0.25</v>
      </c>
      <c r="L50" s="82">
        <f t="shared" si="3"/>
        <v>3150</v>
      </c>
      <c r="M50" s="82">
        <f t="shared" si="4"/>
        <v>1350</v>
      </c>
      <c r="N50" s="79" t="s">
        <v>57</v>
      </c>
      <c r="O50" s="84">
        <f t="shared" si="5"/>
        <v>0.3</v>
      </c>
    </row>
    <row r="51" ht="22.5" customHeight="1">
      <c r="A51" s="79" t="s">
        <v>337</v>
      </c>
      <c r="B51" s="80">
        <v>44976.0</v>
      </c>
      <c r="C51" s="79" t="s">
        <v>338</v>
      </c>
      <c r="D51" s="79" t="s">
        <v>9</v>
      </c>
      <c r="E51" s="79" t="s">
        <v>232</v>
      </c>
      <c r="F51" s="79" t="s">
        <v>233</v>
      </c>
      <c r="G51" s="79">
        <v>12.0</v>
      </c>
      <c r="H51" s="81">
        <v>150.0</v>
      </c>
      <c r="I51" s="81">
        <f t="shared" si="1"/>
        <v>1800</v>
      </c>
      <c r="J51" s="82">
        <v>1600.0</v>
      </c>
      <c r="K51" s="83">
        <f t="shared" si="2"/>
        <v>0.1111111111</v>
      </c>
      <c r="L51" s="82">
        <f t="shared" si="3"/>
        <v>1120</v>
      </c>
      <c r="M51" s="82">
        <f t="shared" si="4"/>
        <v>480</v>
      </c>
      <c r="N51" s="79" t="s">
        <v>55</v>
      </c>
      <c r="O51" s="84">
        <f t="shared" si="5"/>
        <v>0.3</v>
      </c>
    </row>
    <row r="52">
      <c r="H52" s="85"/>
      <c r="I52" s="85"/>
      <c r="J52" s="85"/>
      <c r="K52" s="86"/>
      <c r="L52" s="86"/>
    </row>
    <row r="53">
      <c r="H53" s="85"/>
      <c r="I53" s="85"/>
      <c r="J53" s="85"/>
      <c r="K53" s="86"/>
      <c r="L53" s="86"/>
    </row>
    <row r="54">
      <c r="H54" s="85"/>
      <c r="I54" s="85"/>
      <c r="J54" s="85"/>
      <c r="K54" s="86"/>
      <c r="L54" s="86"/>
    </row>
    <row r="55">
      <c r="H55" s="85"/>
      <c r="I55" s="85"/>
      <c r="J55" s="85"/>
      <c r="K55" s="86"/>
      <c r="L55" s="86"/>
    </row>
    <row r="56">
      <c r="H56" s="85"/>
      <c r="I56" s="85"/>
      <c r="J56" s="85"/>
      <c r="K56" s="86"/>
      <c r="L56" s="86"/>
    </row>
    <row r="57">
      <c r="H57" s="85"/>
      <c r="I57" s="85"/>
      <c r="J57" s="85"/>
      <c r="K57" s="86"/>
      <c r="L57" s="86"/>
    </row>
    <row r="58">
      <c r="H58" s="85"/>
      <c r="I58" s="85"/>
      <c r="J58" s="85"/>
      <c r="K58" s="86"/>
      <c r="L58" s="86"/>
    </row>
    <row r="59">
      <c r="H59" s="85"/>
      <c r="I59" s="85"/>
      <c r="J59" s="85"/>
      <c r="K59" s="86"/>
      <c r="L59" s="86"/>
    </row>
    <row r="60">
      <c r="H60" s="85"/>
      <c r="I60" s="85"/>
      <c r="J60" s="85"/>
      <c r="K60" s="86"/>
      <c r="L60" s="86"/>
    </row>
    <row r="61">
      <c r="H61" s="85"/>
      <c r="I61" s="85"/>
      <c r="J61" s="85"/>
      <c r="K61" s="86"/>
      <c r="L61" s="86"/>
    </row>
    <row r="62">
      <c r="H62" s="85"/>
      <c r="I62" s="85"/>
      <c r="J62" s="85"/>
      <c r="K62" s="86"/>
      <c r="L62" s="86"/>
    </row>
    <row r="63">
      <c r="H63" s="85"/>
      <c r="I63" s="85"/>
      <c r="J63" s="85"/>
      <c r="K63" s="86"/>
      <c r="L63" s="86"/>
    </row>
    <row r="64">
      <c r="H64" s="85"/>
      <c r="I64" s="85"/>
      <c r="J64" s="85"/>
      <c r="K64" s="86"/>
      <c r="L64" s="86"/>
    </row>
    <row r="65">
      <c r="H65" s="85"/>
      <c r="I65" s="85"/>
      <c r="J65" s="85"/>
      <c r="K65" s="86"/>
      <c r="L65" s="86"/>
    </row>
    <row r="66">
      <c r="H66" s="85"/>
      <c r="I66" s="85"/>
      <c r="J66" s="85"/>
      <c r="K66" s="86"/>
      <c r="L66" s="86"/>
    </row>
    <row r="67">
      <c r="H67" s="85"/>
      <c r="I67" s="85"/>
      <c r="J67" s="85"/>
      <c r="K67" s="86"/>
      <c r="L67" s="86"/>
    </row>
    <row r="68">
      <c r="H68" s="85"/>
      <c r="I68" s="85"/>
      <c r="J68" s="85"/>
      <c r="K68" s="86"/>
      <c r="L68" s="86"/>
    </row>
    <row r="69">
      <c r="H69" s="85"/>
      <c r="I69" s="85"/>
      <c r="J69" s="85"/>
      <c r="K69" s="86"/>
      <c r="L69" s="86"/>
    </row>
    <row r="70">
      <c r="H70" s="85"/>
      <c r="I70" s="85"/>
      <c r="J70" s="85"/>
      <c r="K70" s="86"/>
      <c r="L70" s="86"/>
    </row>
    <row r="71">
      <c r="H71" s="85"/>
      <c r="I71" s="85"/>
      <c r="J71" s="85"/>
      <c r="K71" s="86"/>
      <c r="L71" s="86"/>
    </row>
    <row r="72">
      <c r="H72" s="85"/>
      <c r="I72" s="85"/>
      <c r="J72" s="85"/>
      <c r="K72" s="86"/>
      <c r="L72" s="86"/>
    </row>
    <row r="73">
      <c r="H73" s="85"/>
      <c r="I73" s="85"/>
      <c r="J73" s="85"/>
      <c r="K73" s="86"/>
      <c r="L73" s="86"/>
    </row>
    <row r="74">
      <c r="H74" s="85"/>
      <c r="I74" s="85"/>
      <c r="J74" s="85"/>
      <c r="K74" s="86"/>
      <c r="L74" s="86"/>
    </row>
    <row r="75">
      <c r="H75" s="85"/>
      <c r="I75" s="85"/>
      <c r="J75" s="85"/>
      <c r="K75" s="86"/>
      <c r="L75" s="86"/>
    </row>
    <row r="76">
      <c r="H76" s="85"/>
      <c r="I76" s="85"/>
      <c r="J76" s="85"/>
      <c r="K76" s="86"/>
      <c r="L76" s="86"/>
    </row>
    <row r="77">
      <c r="H77" s="85"/>
      <c r="I77" s="85"/>
      <c r="J77" s="85"/>
      <c r="K77" s="86"/>
      <c r="L77" s="86"/>
    </row>
    <row r="78">
      <c r="H78" s="85"/>
      <c r="I78" s="85"/>
      <c r="J78" s="85"/>
      <c r="K78" s="86"/>
      <c r="L78" s="86"/>
    </row>
    <row r="79">
      <c r="H79" s="85"/>
      <c r="I79" s="85"/>
      <c r="J79" s="85"/>
      <c r="K79" s="86"/>
      <c r="L79" s="86"/>
    </row>
    <row r="80">
      <c r="H80" s="85"/>
      <c r="I80" s="85"/>
      <c r="J80" s="85"/>
      <c r="K80" s="86"/>
      <c r="L80" s="86"/>
    </row>
    <row r="81">
      <c r="H81" s="85"/>
      <c r="I81" s="85"/>
      <c r="J81" s="85"/>
      <c r="K81" s="86"/>
      <c r="L81" s="86"/>
    </row>
    <row r="82">
      <c r="H82" s="85"/>
      <c r="I82" s="85"/>
      <c r="J82" s="85"/>
      <c r="K82" s="86"/>
      <c r="L82" s="86"/>
    </row>
    <row r="83">
      <c r="H83" s="85"/>
      <c r="I83" s="85"/>
      <c r="J83" s="85"/>
      <c r="K83" s="86"/>
      <c r="L83" s="86"/>
    </row>
    <row r="84">
      <c r="H84" s="85"/>
      <c r="I84" s="85"/>
      <c r="J84" s="85"/>
      <c r="K84" s="86"/>
      <c r="L84" s="86"/>
    </row>
    <row r="85">
      <c r="H85" s="85"/>
      <c r="I85" s="85"/>
      <c r="J85" s="85"/>
      <c r="K85" s="86"/>
      <c r="L85" s="86"/>
    </row>
    <row r="86">
      <c r="H86" s="85"/>
      <c r="I86" s="85"/>
      <c r="J86" s="85"/>
      <c r="K86" s="86"/>
      <c r="L86" s="86"/>
    </row>
    <row r="87">
      <c r="H87" s="85"/>
      <c r="I87" s="85"/>
      <c r="J87" s="85"/>
      <c r="K87" s="86"/>
      <c r="L87" s="86"/>
    </row>
    <row r="88">
      <c r="H88" s="85"/>
      <c r="I88" s="85"/>
      <c r="J88" s="85"/>
      <c r="K88" s="86"/>
      <c r="L88" s="86"/>
    </row>
    <row r="89">
      <c r="H89" s="85"/>
      <c r="I89" s="85"/>
      <c r="J89" s="85"/>
      <c r="K89" s="86"/>
      <c r="L89" s="86"/>
    </row>
    <row r="90">
      <c r="H90" s="85"/>
      <c r="I90" s="85"/>
      <c r="J90" s="85"/>
      <c r="K90" s="86"/>
      <c r="L90" s="86"/>
    </row>
    <row r="91">
      <c r="H91" s="85"/>
      <c r="I91" s="85"/>
      <c r="J91" s="85"/>
      <c r="K91" s="86"/>
      <c r="L91" s="86"/>
    </row>
    <row r="92">
      <c r="H92" s="85"/>
      <c r="I92" s="85"/>
      <c r="J92" s="85"/>
      <c r="K92" s="86"/>
      <c r="L92" s="86"/>
    </row>
    <row r="93">
      <c r="H93" s="85"/>
      <c r="I93" s="85"/>
      <c r="J93" s="85"/>
      <c r="K93" s="86"/>
      <c r="L93" s="86"/>
    </row>
    <row r="94">
      <c r="H94" s="85"/>
      <c r="I94" s="85"/>
      <c r="J94" s="85"/>
      <c r="K94" s="86"/>
      <c r="L94" s="86"/>
    </row>
    <row r="95">
      <c r="H95" s="85"/>
      <c r="I95" s="85"/>
      <c r="J95" s="85"/>
      <c r="K95" s="86"/>
      <c r="L95" s="86"/>
    </row>
    <row r="96">
      <c r="H96" s="85"/>
      <c r="I96" s="85"/>
      <c r="J96" s="85"/>
      <c r="K96" s="86"/>
      <c r="L96" s="86"/>
    </row>
    <row r="97">
      <c r="H97" s="85"/>
      <c r="I97" s="85"/>
      <c r="J97" s="85"/>
      <c r="K97" s="86"/>
      <c r="L97" s="86"/>
    </row>
    <row r="98">
      <c r="H98" s="85"/>
      <c r="I98" s="85"/>
      <c r="J98" s="85"/>
      <c r="K98" s="86"/>
      <c r="L98" s="86"/>
    </row>
    <row r="99">
      <c r="H99" s="85"/>
      <c r="I99" s="85"/>
      <c r="J99" s="85"/>
      <c r="K99" s="86"/>
      <c r="L99" s="86"/>
    </row>
    <row r="100">
      <c r="H100" s="85"/>
      <c r="I100" s="85"/>
      <c r="J100" s="85"/>
      <c r="K100" s="86"/>
      <c r="L100" s="86"/>
    </row>
    <row r="101">
      <c r="H101" s="85"/>
      <c r="I101" s="85"/>
      <c r="J101" s="85"/>
      <c r="K101" s="86"/>
      <c r="L101" s="86"/>
    </row>
    <row r="102">
      <c r="H102" s="85"/>
      <c r="I102" s="85"/>
      <c r="J102" s="85"/>
      <c r="K102" s="86"/>
      <c r="L102" s="86"/>
    </row>
    <row r="103">
      <c r="H103" s="85"/>
      <c r="I103" s="85"/>
      <c r="J103" s="85"/>
      <c r="K103" s="86"/>
      <c r="L103" s="86"/>
    </row>
    <row r="104">
      <c r="H104" s="85"/>
      <c r="I104" s="85"/>
      <c r="J104" s="85"/>
      <c r="K104" s="86"/>
      <c r="L104" s="86"/>
    </row>
    <row r="105">
      <c r="H105" s="85"/>
      <c r="I105" s="85"/>
      <c r="J105" s="85"/>
      <c r="K105" s="86"/>
      <c r="L105" s="86"/>
    </row>
    <row r="106">
      <c r="H106" s="85"/>
      <c r="I106" s="85"/>
      <c r="J106" s="85"/>
      <c r="K106" s="86"/>
      <c r="L106" s="86"/>
    </row>
    <row r="107">
      <c r="H107" s="85"/>
      <c r="I107" s="85"/>
      <c r="J107" s="85"/>
      <c r="K107" s="86"/>
      <c r="L107" s="86"/>
    </row>
    <row r="108">
      <c r="H108" s="85"/>
      <c r="I108" s="85"/>
      <c r="J108" s="85"/>
      <c r="K108" s="86"/>
      <c r="L108" s="86"/>
    </row>
    <row r="109">
      <c r="H109" s="85"/>
      <c r="I109" s="85"/>
      <c r="J109" s="85"/>
      <c r="K109" s="86"/>
      <c r="L109" s="86"/>
    </row>
    <row r="110">
      <c r="H110" s="85"/>
      <c r="I110" s="85"/>
      <c r="J110" s="85"/>
      <c r="K110" s="86"/>
      <c r="L110" s="86"/>
    </row>
    <row r="111">
      <c r="H111" s="85"/>
      <c r="I111" s="85"/>
      <c r="J111" s="85"/>
      <c r="K111" s="86"/>
      <c r="L111" s="86"/>
    </row>
    <row r="112">
      <c r="H112" s="85"/>
      <c r="I112" s="85"/>
      <c r="J112" s="85"/>
      <c r="K112" s="86"/>
      <c r="L112" s="86"/>
    </row>
    <row r="113">
      <c r="H113" s="85"/>
      <c r="I113" s="85"/>
      <c r="J113" s="85"/>
      <c r="K113" s="86"/>
      <c r="L113" s="86"/>
    </row>
    <row r="114">
      <c r="H114" s="85"/>
      <c r="I114" s="85"/>
      <c r="J114" s="85"/>
      <c r="K114" s="86"/>
      <c r="L114" s="86"/>
    </row>
    <row r="115">
      <c r="H115" s="85"/>
      <c r="I115" s="85"/>
      <c r="J115" s="85"/>
      <c r="K115" s="86"/>
      <c r="L115" s="86"/>
    </row>
    <row r="116">
      <c r="H116" s="85"/>
      <c r="I116" s="85"/>
      <c r="J116" s="85"/>
      <c r="K116" s="86"/>
      <c r="L116" s="86"/>
    </row>
    <row r="117">
      <c r="H117" s="85"/>
      <c r="I117" s="85"/>
      <c r="J117" s="85"/>
      <c r="K117" s="86"/>
      <c r="L117" s="86"/>
    </row>
    <row r="118">
      <c r="H118" s="85"/>
      <c r="I118" s="85"/>
      <c r="J118" s="85"/>
      <c r="K118" s="86"/>
      <c r="L118" s="86"/>
    </row>
    <row r="119">
      <c r="H119" s="85"/>
      <c r="I119" s="85"/>
      <c r="J119" s="85"/>
      <c r="K119" s="86"/>
      <c r="L119" s="86"/>
    </row>
    <row r="120">
      <c r="H120" s="85"/>
      <c r="I120" s="85"/>
      <c r="J120" s="85"/>
      <c r="K120" s="86"/>
      <c r="L120" s="86"/>
    </row>
    <row r="121">
      <c r="H121" s="85"/>
      <c r="I121" s="85"/>
      <c r="J121" s="85"/>
      <c r="K121" s="86"/>
      <c r="L121" s="86"/>
    </row>
    <row r="122">
      <c r="H122" s="85"/>
      <c r="I122" s="85"/>
      <c r="J122" s="85"/>
      <c r="K122" s="86"/>
      <c r="L122" s="86"/>
    </row>
    <row r="123">
      <c r="H123" s="85"/>
      <c r="I123" s="85"/>
      <c r="J123" s="85"/>
      <c r="K123" s="86"/>
      <c r="L123" s="86"/>
    </row>
    <row r="124">
      <c r="H124" s="85"/>
      <c r="I124" s="85"/>
      <c r="J124" s="85"/>
      <c r="K124" s="86"/>
      <c r="L124" s="86"/>
    </row>
    <row r="125">
      <c r="H125" s="85"/>
      <c r="I125" s="85"/>
      <c r="J125" s="85"/>
      <c r="K125" s="86"/>
      <c r="L125" s="86"/>
    </row>
    <row r="126">
      <c r="H126" s="85"/>
      <c r="I126" s="85"/>
      <c r="J126" s="85"/>
      <c r="K126" s="86"/>
      <c r="L126" s="86"/>
    </row>
    <row r="127">
      <c r="H127" s="85"/>
      <c r="I127" s="85"/>
      <c r="J127" s="85"/>
      <c r="K127" s="86"/>
      <c r="L127" s="86"/>
    </row>
    <row r="128">
      <c r="H128" s="85"/>
      <c r="I128" s="85"/>
      <c r="J128" s="85"/>
      <c r="K128" s="86"/>
      <c r="L128" s="86"/>
    </row>
    <row r="129">
      <c r="H129" s="85"/>
      <c r="I129" s="85"/>
      <c r="J129" s="85"/>
      <c r="K129" s="86"/>
      <c r="L129" s="86"/>
    </row>
    <row r="130">
      <c r="H130" s="85"/>
      <c r="I130" s="85"/>
      <c r="J130" s="85"/>
      <c r="K130" s="86"/>
      <c r="L130" s="86"/>
    </row>
    <row r="131">
      <c r="H131" s="85"/>
      <c r="I131" s="85"/>
      <c r="J131" s="85"/>
      <c r="K131" s="86"/>
      <c r="L131" s="86"/>
    </row>
    <row r="132">
      <c r="H132" s="85"/>
      <c r="I132" s="85"/>
      <c r="J132" s="85"/>
      <c r="K132" s="86"/>
      <c r="L132" s="86"/>
    </row>
    <row r="133">
      <c r="H133" s="85"/>
      <c r="I133" s="85"/>
      <c r="J133" s="85"/>
      <c r="K133" s="86"/>
      <c r="L133" s="86"/>
    </row>
    <row r="134">
      <c r="H134" s="85"/>
      <c r="I134" s="85"/>
      <c r="J134" s="85"/>
      <c r="K134" s="86"/>
      <c r="L134" s="86"/>
    </row>
    <row r="135">
      <c r="H135" s="85"/>
      <c r="I135" s="85"/>
      <c r="J135" s="85"/>
      <c r="K135" s="86"/>
      <c r="L135" s="86"/>
    </row>
    <row r="136">
      <c r="H136" s="85"/>
      <c r="I136" s="85"/>
      <c r="J136" s="85"/>
      <c r="K136" s="86"/>
      <c r="L136" s="86"/>
    </row>
    <row r="137">
      <c r="H137" s="85"/>
      <c r="I137" s="85"/>
      <c r="J137" s="85"/>
      <c r="K137" s="86"/>
      <c r="L137" s="86"/>
    </row>
    <row r="138">
      <c r="H138" s="85"/>
      <c r="I138" s="85"/>
      <c r="J138" s="85"/>
      <c r="K138" s="86"/>
      <c r="L138" s="86"/>
    </row>
    <row r="139">
      <c r="H139" s="85"/>
      <c r="I139" s="85"/>
      <c r="J139" s="85"/>
      <c r="K139" s="86"/>
      <c r="L139" s="86"/>
    </row>
    <row r="140">
      <c r="H140" s="85"/>
      <c r="I140" s="85"/>
      <c r="J140" s="85"/>
      <c r="K140" s="86"/>
      <c r="L140" s="86"/>
    </row>
    <row r="141">
      <c r="H141" s="85"/>
      <c r="I141" s="85"/>
      <c r="J141" s="85"/>
      <c r="K141" s="86"/>
      <c r="L141" s="86"/>
    </row>
    <row r="142">
      <c r="H142" s="85"/>
      <c r="I142" s="85"/>
      <c r="J142" s="85"/>
      <c r="K142" s="86"/>
      <c r="L142" s="86"/>
    </row>
    <row r="143">
      <c r="H143" s="85"/>
      <c r="I143" s="85"/>
      <c r="J143" s="85"/>
      <c r="K143" s="86"/>
      <c r="L143" s="86"/>
    </row>
    <row r="144">
      <c r="H144" s="85"/>
      <c r="I144" s="85"/>
      <c r="J144" s="85"/>
      <c r="K144" s="86"/>
      <c r="L144" s="86"/>
    </row>
    <row r="145">
      <c r="H145" s="85"/>
      <c r="I145" s="85"/>
      <c r="J145" s="85"/>
      <c r="K145" s="86"/>
      <c r="L145" s="86"/>
    </row>
    <row r="146">
      <c r="H146" s="85"/>
      <c r="I146" s="85"/>
      <c r="J146" s="85"/>
      <c r="K146" s="86"/>
      <c r="L146" s="86"/>
    </row>
    <row r="147">
      <c r="H147" s="85"/>
      <c r="I147" s="85"/>
      <c r="J147" s="85"/>
      <c r="K147" s="86"/>
      <c r="L147" s="86"/>
    </row>
    <row r="148">
      <c r="H148" s="85"/>
      <c r="I148" s="85"/>
      <c r="J148" s="85"/>
      <c r="K148" s="86"/>
      <c r="L148" s="86"/>
    </row>
    <row r="149">
      <c r="H149" s="85"/>
      <c r="I149" s="85"/>
      <c r="J149" s="85"/>
      <c r="K149" s="86"/>
      <c r="L149" s="86"/>
    </row>
    <row r="150">
      <c r="H150" s="85"/>
      <c r="I150" s="85"/>
      <c r="J150" s="85"/>
      <c r="K150" s="86"/>
      <c r="L150" s="86"/>
    </row>
    <row r="151">
      <c r="H151" s="85"/>
      <c r="I151" s="85"/>
      <c r="J151" s="85"/>
      <c r="K151" s="86"/>
      <c r="L151" s="86"/>
    </row>
    <row r="152">
      <c r="H152" s="85"/>
      <c r="I152" s="85"/>
      <c r="J152" s="85"/>
      <c r="K152" s="86"/>
      <c r="L152" s="86"/>
    </row>
    <row r="153">
      <c r="H153" s="85"/>
      <c r="I153" s="85"/>
      <c r="J153" s="85"/>
      <c r="K153" s="86"/>
      <c r="L153" s="86"/>
    </row>
    <row r="154">
      <c r="H154" s="85"/>
      <c r="I154" s="85"/>
      <c r="J154" s="85"/>
      <c r="K154" s="86"/>
      <c r="L154" s="86"/>
    </row>
    <row r="155">
      <c r="H155" s="85"/>
      <c r="I155" s="85"/>
      <c r="J155" s="85"/>
      <c r="K155" s="86"/>
      <c r="L155" s="86"/>
    </row>
    <row r="156">
      <c r="H156" s="85"/>
      <c r="I156" s="85"/>
      <c r="J156" s="85"/>
      <c r="K156" s="86"/>
      <c r="L156" s="86"/>
    </row>
    <row r="157">
      <c r="H157" s="85"/>
      <c r="I157" s="85"/>
      <c r="J157" s="85"/>
      <c r="K157" s="86"/>
      <c r="L157" s="86"/>
    </row>
    <row r="158">
      <c r="H158" s="85"/>
      <c r="I158" s="85"/>
      <c r="J158" s="85"/>
      <c r="K158" s="86"/>
      <c r="L158" s="86"/>
    </row>
    <row r="159">
      <c r="H159" s="85"/>
      <c r="I159" s="85"/>
      <c r="J159" s="85"/>
      <c r="K159" s="86"/>
      <c r="L159" s="86"/>
    </row>
    <row r="160">
      <c r="H160" s="85"/>
      <c r="I160" s="85"/>
      <c r="J160" s="85"/>
      <c r="K160" s="86"/>
      <c r="L160" s="86"/>
    </row>
    <row r="161">
      <c r="H161" s="85"/>
      <c r="I161" s="85"/>
      <c r="J161" s="85"/>
      <c r="K161" s="86"/>
      <c r="L161" s="86"/>
    </row>
    <row r="162">
      <c r="H162" s="85"/>
      <c r="I162" s="85"/>
      <c r="J162" s="85"/>
      <c r="K162" s="86"/>
      <c r="L162" s="86"/>
    </row>
    <row r="163">
      <c r="H163" s="85"/>
      <c r="I163" s="85"/>
      <c r="J163" s="85"/>
      <c r="K163" s="86"/>
      <c r="L163" s="86"/>
    </row>
    <row r="164">
      <c r="H164" s="85"/>
      <c r="I164" s="85"/>
      <c r="J164" s="85"/>
      <c r="K164" s="86"/>
      <c r="L164" s="86"/>
    </row>
    <row r="165">
      <c r="H165" s="85"/>
      <c r="I165" s="85"/>
      <c r="J165" s="85"/>
      <c r="K165" s="86"/>
      <c r="L165" s="86"/>
    </row>
    <row r="166">
      <c r="H166" s="85"/>
      <c r="I166" s="85"/>
      <c r="J166" s="85"/>
      <c r="K166" s="86"/>
      <c r="L166" s="86"/>
    </row>
    <row r="167">
      <c r="H167" s="85"/>
      <c r="I167" s="85"/>
      <c r="J167" s="85"/>
      <c r="K167" s="86"/>
      <c r="L167" s="86"/>
    </row>
    <row r="168">
      <c r="H168" s="85"/>
      <c r="I168" s="85"/>
      <c r="J168" s="85"/>
      <c r="K168" s="86"/>
      <c r="L168" s="86"/>
    </row>
    <row r="169">
      <c r="H169" s="85"/>
      <c r="I169" s="85"/>
      <c r="J169" s="85"/>
      <c r="K169" s="86"/>
      <c r="L169" s="86"/>
    </row>
    <row r="170">
      <c r="H170" s="85"/>
      <c r="I170" s="85"/>
      <c r="J170" s="85"/>
      <c r="K170" s="86"/>
      <c r="L170" s="86"/>
    </row>
    <row r="171">
      <c r="H171" s="85"/>
      <c r="I171" s="85"/>
      <c r="J171" s="85"/>
      <c r="K171" s="86"/>
      <c r="L171" s="86"/>
    </row>
    <row r="172">
      <c r="H172" s="85"/>
      <c r="I172" s="85"/>
      <c r="J172" s="85"/>
      <c r="K172" s="86"/>
      <c r="L172" s="86"/>
    </row>
    <row r="173">
      <c r="H173" s="85"/>
      <c r="I173" s="85"/>
      <c r="J173" s="85"/>
      <c r="K173" s="86"/>
      <c r="L173" s="86"/>
    </row>
    <row r="174">
      <c r="H174" s="85"/>
      <c r="I174" s="85"/>
      <c r="J174" s="85"/>
      <c r="K174" s="86"/>
      <c r="L174" s="86"/>
    </row>
    <row r="175">
      <c r="H175" s="85"/>
      <c r="I175" s="85"/>
      <c r="J175" s="85"/>
      <c r="K175" s="86"/>
      <c r="L175" s="86"/>
    </row>
    <row r="176">
      <c r="H176" s="85"/>
      <c r="I176" s="85"/>
      <c r="J176" s="85"/>
      <c r="K176" s="86"/>
      <c r="L176" s="86"/>
    </row>
    <row r="177">
      <c r="H177" s="85"/>
      <c r="I177" s="85"/>
      <c r="J177" s="85"/>
      <c r="K177" s="86"/>
      <c r="L177" s="86"/>
    </row>
    <row r="178">
      <c r="H178" s="85"/>
      <c r="I178" s="85"/>
      <c r="J178" s="85"/>
      <c r="K178" s="86"/>
      <c r="L178" s="86"/>
    </row>
    <row r="179">
      <c r="H179" s="85"/>
      <c r="I179" s="85"/>
      <c r="J179" s="85"/>
      <c r="K179" s="86"/>
      <c r="L179" s="86"/>
    </row>
    <row r="180">
      <c r="H180" s="85"/>
      <c r="I180" s="85"/>
      <c r="J180" s="85"/>
      <c r="K180" s="86"/>
      <c r="L180" s="86"/>
    </row>
    <row r="181">
      <c r="H181" s="85"/>
      <c r="I181" s="85"/>
      <c r="J181" s="85"/>
      <c r="K181" s="86"/>
      <c r="L181" s="86"/>
    </row>
    <row r="182">
      <c r="H182" s="85"/>
      <c r="I182" s="85"/>
      <c r="J182" s="85"/>
      <c r="K182" s="86"/>
      <c r="L182" s="86"/>
    </row>
    <row r="183">
      <c r="H183" s="85"/>
      <c r="I183" s="85"/>
      <c r="J183" s="85"/>
      <c r="K183" s="86"/>
      <c r="L183" s="86"/>
    </row>
    <row r="184">
      <c r="H184" s="85"/>
      <c r="I184" s="85"/>
      <c r="J184" s="85"/>
      <c r="K184" s="86"/>
      <c r="L184" s="86"/>
    </row>
    <row r="185">
      <c r="H185" s="85"/>
      <c r="I185" s="85"/>
      <c r="J185" s="85"/>
      <c r="K185" s="86"/>
      <c r="L185" s="86"/>
    </row>
    <row r="186">
      <c r="H186" s="85"/>
      <c r="I186" s="85"/>
      <c r="J186" s="85"/>
      <c r="K186" s="86"/>
      <c r="L186" s="86"/>
    </row>
    <row r="187">
      <c r="H187" s="85"/>
      <c r="I187" s="85"/>
      <c r="J187" s="85"/>
      <c r="K187" s="86"/>
      <c r="L187" s="86"/>
    </row>
    <row r="188">
      <c r="H188" s="85"/>
      <c r="I188" s="85"/>
      <c r="J188" s="85"/>
      <c r="K188" s="86"/>
      <c r="L188" s="86"/>
    </row>
    <row r="189">
      <c r="H189" s="85"/>
      <c r="I189" s="85"/>
      <c r="J189" s="85"/>
      <c r="K189" s="86"/>
      <c r="L189" s="86"/>
    </row>
    <row r="190">
      <c r="H190" s="85"/>
      <c r="I190" s="85"/>
      <c r="J190" s="85"/>
      <c r="K190" s="86"/>
      <c r="L190" s="86"/>
    </row>
    <row r="191">
      <c r="H191" s="85"/>
      <c r="I191" s="85"/>
      <c r="J191" s="85"/>
      <c r="K191" s="86"/>
      <c r="L191" s="86"/>
    </row>
    <row r="192">
      <c r="H192" s="85"/>
      <c r="I192" s="85"/>
      <c r="J192" s="85"/>
      <c r="K192" s="86"/>
      <c r="L192" s="86"/>
    </row>
    <row r="193">
      <c r="H193" s="85"/>
      <c r="I193" s="85"/>
      <c r="J193" s="85"/>
      <c r="K193" s="86"/>
      <c r="L193" s="86"/>
    </row>
    <row r="194">
      <c r="H194" s="85"/>
      <c r="I194" s="85"/>
      <c r="J194" s="85"/>
      <c r="K194" s="86"/>
      <c r="L194" s="86"/>
    </row>
    <row r="195">
      <c r="H195" s="85"/>
      <c r="I195" s="85"/>
      <c r="J195" s="85"/>
      <c r="K195" s="86"/>
      <c r="L195" s="86"/>
    </row>
    <row r="196">
      <c r="H196" s="85"/>
      <c r="I196" s="85"/>
      <c r="J196" s="85"/>
      <c r="K196" s="86"/>
      <c r="L196" s="86"/>
    </row>
    <row r="197">
      <c r="H197" s="85"/>
      <c r="I197" s="85"/>
      <c r="J197" s="85"/>
      <c r="K197" s="86"/>
      <c r="L197" s="86"/>
    </row>
    <row r="198">
      <c r="H198" s="85"/>
      <c r="I198" s="85"/>
      <c r="J198" s="85"/>
      <c r="K198" s="86"/>
      <c r="L198" s="86"/>
    </row>
    <row r="199">
      <c r="H199" s="85"/>
      <c r="I199" s="85"/>
      <c r="J199" s="85"/>
      <c r="K199" s="86"/>
      <c r="L199" s="86"/>
    </row>
    <row r="200">
      <c r="H200" s="85"/>
      <c r="I200" s="85"/>
      <c r="J200" s="85"/>
      <c r="K200" s="86"/>
      <c r="L200" s="86"/>
    </row>
    <row r="201">
      <c r="H201" s="85"/>
      <c r="I201" s="85"/>
      <c r="J201" s="85"/>
      <c r="K201" s="86"/>
      <c r="L201" s="86"/>
    </row>
    <row r="202">
      <c r="H202" s="85"/>
      <c r="I202" s="85"/>
      <c r="J202" s="85"/>
      <c r="K202" s="86"/>
      <c r="L202" s="86"/>
    </row>
    <row r="203">
      <c r="H203" s="85"/>
      <c r="I203" s="85"/>
      <c r="J203" s="85"/>
      <c r="K203" s="86"/>
      <c r="L203" s="86"/>
    </row>
    <row r="204">
      <c r="H204" s="85"/>
      <c r="I204" s="85"/>
      <c r="J204" s="85"/>
      <c r="K204" s="86"/>
      <c r="L204" s="86"/>
    </row>
    <row r="205">
      <c r="H205" s="85"/>
      <c r="I205" s="85"/>
      <c r="J205" s="85"/>
      <c r="K205" s="86"/>
      <c r="L205" s="86"/>
    </row>
    <row r="206">
      <c r="H206" s="85"/>
      <c r="I206" s="85"/>
      <c r="J206" s="85"/>
      <c r="K206" s="86"/>
      <c r="L206" s="86"/>
    </row>
    <row r="207">
      <c r="H207" s="85"/>
      <c r="I207" s="85"/>
      <c r="J207" s="85"/>
      <c r="K207" s="86"/>
      <c r="L207" s="86"/>
    </row>
    <row r="208">
      <c r="H208" s="85"/>
      <c r="I208" s="85"/>
      <c r="J208" s="85"/>
      <c r="K208" s="86"/>
      <c r="L208" s="86"/>
    </row>
    <row r="209">
      <c r="H209" s="85"/>
      <c r="I209" s="85"/>
      <c r="J209" s="85"/>
      <c r="K209" s="86"/>
      <c r="L209" s="86"/>
    </row>
    <row r="210">
      <c r="H210" s="85"/>
      <c r="I210" s="85"/>
      <c r="J210" s="85"/>
      <c r="K210" s="86"/>
      <c r="L210" s="86"/>
    </row>
    <row r="211">
      <c r="H211" s="85"/>
      <c r="I211" s="85"/>
      <c r="J211" s="85"/>
      <c r="K211" s="86"/>
      <c r="L211" s="86"/>
    </row>
    <row r="212">
      <c r="H212" s="85"/>
      <c r="I212" s="85"/>
      <c r="J212" s="85"/>
      <c r="K212" s="86"/>
      <c r="L212" s="86"/>
    </row>
    <row r="213">
      <c r="H213" s="85"/>
      <c r="I213" s="85"/>
      <c r="J213" s="85"/>
      <c r="K213" s="86"/>
      <c r="L213" s="86"/>
    </row>
    <row r="214">
      <c r="H214" s="85"/>
      <c r="I214" s="85"/>
      <c r="J214" s="85"/>
      <c r="K214" s="86"/>
      <c r="L214" s="86"/>
    </row>
    <row r="215">
      <c r="H215" s="85"/>
      <c r="I215" s="85"/>
      <c r="J215" s="85"/>
      <c r="K215" s="86"/>
      <c r="L215" s="86"/>
    </row>
    <row r="216">
      <c r="H216" s="85"/>
      <c r="I216" s="85"/>
      <c r="J216" s="85"/>
      <c r="K216" s="86"/>
      <c r="L216" s="86"/>
    </row>
    <row r="217">
      <c r="H217" s="85"/>
      <c r="I217" s="85"/>
      <c r="J217" s="85"/>
      <c r="K217" s="86"/>
      <c r="L217" s="86"/>
    </row>
    <row r="218">
      <c r="H218" s="85"/>
      <c r="I218" s="85"/>
      <c r="J218" s="85"/>
      <c r="K218" s="86"/>
      <c r="L218" s="86"/>
    </row>
    <row r="219">
      <c r="H219" s="85"/>
      <c r="I219" s="85"/>
      <c r="J219" s="85"/>
      <c r="K219" s="86"/>
      <c r="L219" s="86"/>
    </row>
    <row r="220">
      <c r="H220" s="85"/>
      <c r="I220" s="85"/>
      <c r="J220" s="85"/>
      <c r="K220" s="86"/>
      <c r="L220" s="86"/>
    </row>
    <row r="221">
      <c r="H221" s="85"/>
      <c r="I221" s="85"/>
      <c r="J221" s="85"/>
      <c r="K221" s="86"/>
      <c r="L221" s="86"/>
    </row>
    <row r="222">
      <c r="H222" s="85"/>
      <c r="I222" s="85"/>
      <c r="J222" s="85"/>
      <c r="K222" s="86"/>
      <c r="L222" s="86"/>
    </row>
    <row r="223">
      <c r="H223" s="85"/>
      <c r="I223" s="85"/>
      <c r="J223" s="85"/>
      <c r="K223" s="86"/>
      <c r="L223" s="86"/>
    </row>
    <row r="224">
      <c r="H224" s="85"/>
      <c r="I224" s="85"/>
      <c r="J224" s="85"/>
      <c r="K224" s="86"/>
      <c r="L224" s="86"/>
    </row>
    <row r="225">
      <c r="H225" s="85"/>
      <c r="I225" s="85"/>
      <c r="J225" s="85"/>
      <c r="K225" s="86"/>
      <c r="L225" s="86"/>
    </row>
    <row r="226">
      <c r="H226" s="85"/>
      <c r="I226" s="85"/>
      <c r="J226" s="85"/>
      <c r="K226" s="86"/>
      <c r="L226" s="86"/>
    </row>
    <row r="227">
      <c r="H227" s="85"/>
      <c r="I227" s="85"/>
      <c r="J227" s="85"/>
      <c r="K227" s="86"/>
      <c r="L227" s="86"/>
    </row>
    <row r="228">
      <c r="H228" s="85"/>
      <c r="I228" s="85"/>
      <c r="J228" s="85"/>
      <c r="K228" s="86"/>
      <c r="L228" s="86"/>
    </row>
    <row r="229">
      <c r="H229" s="85"/>
      <c r="I229" s="85"/>
      <c r="J229" s="85"/>
      <c r="K229" s="86"/>
      <c r="L229" s="86"/>
    </row>
    <row r="230">
      <c r="H230" s="85"/>
      <c r="I230" s="85"/>
      <c r="J230" s="85"/>
      <c r="K230" s="86"/>
      <c r="L230" s="86"/>
    </row>
    <row r="231">
      <c r="H231" s="85"/>
      <c r="I231" s="85"/>
      <c r="J231" s="85"/>
      <c r="K231" s="86"/>
      <c r="L231" s="86"/>
    </row>
    <row r="232">
      <c r="H232" s="85"/>
      <c r="I232" s="85"/>
      <c r="J232" s="85"/>
      <c r="K232" s="86"/>
      <c r="L232" s="86"/>
    </row>
    <row r="233">
      <c r="H233" s="85"/>
      <c r="I233" s="85"/>
      <c r="J233" s="85"/>
      <c r="K233" s="86"/>
      <c r="L233" s="86"/>
    </row>
    <row r="234">
      <c r="H234" s="85"/>
      <c r="I234" s="85"/>
      <c r="J234" s="85"/>
      <c r="K234" s="86"/>
      <c r="L234" s="86"/>
    </row>
    <row r="235">
      <c r="H235" s="85"/>
      <c r="I235" s="85"/>
      <c r="J235" s="85"/>
      <c r="K235" s="86"/>
      <c r="L235" s="86"/>
    </row>
    <row r="236">
      <c r="H236" s="85"/>
      <c r="I236" s="85"/>
      <c r="J236" s="85"/>
      <c r="K236" s="86"/>
      <c r="L236" s="86"/>
    </row>
    <row r="237">
      <c r="H237" s="85"/>
      <c r="I237" s="85"/>
      <c r="J237" s="85"/>
      <c r="K237" s="86"/>
      <c r="L237" s="86"/>
    </row>
    <row r="238">
      <c r="H238" s="85"/>
      <c r="I238" s="85"/>
      <c r="J238" s="85"/>
      <c r="K238" s="86"/>
      <c r="L238" s="86"/>
    </row>
    <row r="239">
      <c r="H239" s="85"/>
      <c r="I239" s="85"/>
      <c r="J239" s="85"/>
      <c r="K239" s="86"/>
      <c r="L239" s="86"/>
    </row>
    <row r="240">
      <c r="H240" s="85"/>
      <c r="I240" s="85"/>
      <c r="J240" s="85"/>
      <c r="K240" s="86"/>
      <c r="L240" s="86"/>
    </row>
    <row r="241">
      <c r="H241" s="85"/>
      <c r="I241" s="85"/>
      <c r="J241" s="85"/>
      <c r="K241" s="86"/>
      <c r="L241" s="86"/>
    </row>
    <row r="242">
      <c r="H242" s="85"/>
      <c r="I242" s="85"/>
      <c r="J242" s="85"/>
      <c r="K242" s="86"/>
      <c r="L242" s="86"/>
    </row>
    <row r="243">
      <c r="H243" s="85"/>
      <c r="I243" s="85"/>
      <c r="J243" s="85"/>
      <c r="K243" s="86"/>
      <c r="L243" s="86"/>
    </row>
    <row r="244">
      <c r="H244" s="85"/>
      <c r="I244" s="85"/>
      <c r="J244" s="85"/>
      <c r="K244" s="86"/>
      <c r="L244" s="86"/>
    </row>
    <row r="245">
      <c r="H245" s="85"/>
      <c r="I245" s="85"/>
      <c r="J245" s="85"/>
      <c r="K245" s="86"/>
      <c r="L245" s="86"/>
    </row>
    <row r="246">
      <c r="H246" s="85"/>
      <c r="I246" s="85"/>
      <c r="J246" s="85"/>
      <c r="K246" s="86"/>
      <c r="L246" s="86"/>
    </row>
    <row r="247">
      <c r="H247" s="85"/>
      <c r="I247" s="85"/>
      <c r="J247" s="85"/>
      <c r="K247" s="86"/>
      <c r="L247" s="86"/>
    </row>
    <row r="248">
      <c r="H248" s="85"/>
      <c r="I248" s="85"/>
      <c r="J248" s="85"/>
      <c r="K248" s="86"/>
      <c r="L248" s="86"/>
    </row>
    <row r="249">
      <c r="H249" s="85"/>
      <c r="I249" s="85"/>
      <c r="J249" s="85"/>
      <c r="K249" s="86"/>
      <c r="L249" s="86"/>
    </row>
    <row r="250">
      <c r="H250" s="85"/>
      <c r="I250" s="85"/>
      <c r="J250" s="85"/>
      <c r="K250" s="86"/>
      <c r="L250" s="86"/>
    </row>
    <row r="251">
      <c r="H251" s="85"/>
      <c r="I251" s="85"/>
      <c r="J251" s="85"/>
      <c r="K251" s="86"/>
      <c r="L251" s="86"/>
    </row>
    <row r="252">
      <c r="H252" s="85"/>
      <c r="I252" s="85"/>
      <c r="J252" s="85"/>
      <c r="K252" s="86"/>
      <c r="L252" s="86"/>
    </row>
    <row r="253">
      <c r="H253" s="85"/>
      <c r="I253" s="85"/>
      <c r="J253" s="85"/>
      <c r="K253" s="86"/>
      <c r="L253" s="86"/>
    </row>
    <row r="254">
      <c r="H254" s="85"/>
      <c r="I254" s="85"/>
      <c r="J254" s="85"/>
      <c r="K254" s="86"/>
      <c r="L254" s="86"/>
    </row>
    <row r="255">
      <c r="H255" s="85"/>
      <c r="I255" s="85"/>
      <c r="J255" s="85"/>
      <c r="K255" s="86"/>
      <c r="L255" s="86"/>
    </row>
    <row r="256">
      <c r="H256" s="85"/>
      <c r="I256" s="85"/>
      <c r="J256" s="85"/>
      <c r="K256" s="86"/>
      <c r="L256" s="86"/>
    </row>
    <row r="257">
      <c r="H257" s="85"/>
      <c r="I257" s="85"/>
      <c r="J257" s="85"/>
      <c r="K257" s="86"/>
      <c r="L257" s="86"/>
    </row>
    <row r="258">
      <c r="H258" s="85"/>
      <c r="I258" s="85"/>
      <c r="J258" s="85"/>
      <c r="K258" s="86"/>
      <c r="L258" s="86"/>
    </row>
    <row r="259">
      <c r="H259" s="85"/>
      <c r="I259" s="85"/>
      <c r="J259" s="85"/>
      <c r="K259" s="86"/>
      <c r="L259" s="86"/>
    </row>
    <row r="260">
      <c r="H260" s="85"/>
      <c r="I260" s="85"/>
      <c r="J260" s="85"/>
      <c r="K260" s="86"/>
      <c r="L260" s="86"/>
    </row>
    <row r="261">
      <c r="H261" s="85"/>
      <c r="I261" s="85"/>
      <c r="J261" s="85"/>
      <c r="K261" s="86"/>
      <c r="L261" s="86"/>
    </row>
    <row r="262">
      <c r="H262" s="85"/>
      <c r="I262" s="85"/>
      <c r="J262" s="85"/>
      <c r="K262" s="86"/>
      <c r="L262" s="86"/>
    </row>
    <row r="263">
      <c r="H263" s="85"/>
      <c r="I263" s="85"/>
      <c r="J263" s="85"/>
      <c r="K263" s="86"/>
      <c r="L263" s="86"/>
    </row>
    <row r="264">
      <c r="H264" s="85"/>
      <c r="I264" s="85"/>
      <c r="J264" s="85"/>
      <c r="K264" s="86"/>
      <c r="L264" s="86"/>
    </row>
    <row r="265">
      <c r="H265" s="85"/>
      <c r="I265" s="85"/>
      <c r="J265" s="85"/>
      <c r="K265" s="86"/>
      <c r="L265" s="86"/>
    </row>
    <row r="266">
      <c r="H266" s="85"/>
      <c r="I266" s="85"/>
      <c r="J266" s="85"/>
      <c r="K266" s="86"/>
      <c r="L266" s="86"/>
    </row>
    <row r="267">
      <c r="H267" s="85"/>
      <c r="I267" s="85"/>
      <c r="J267" s="85"/>
      <c r="K267" s="86"/>
      <c r="L267" s="86"/>
    </row>
    <row r="268">
      <c r="H268" s="85"/>
      <c r="I268" s="85"/>
      <c r="J268" s="85"/>
      <c r="K268" s="86"/>
      <c r="L268" s="86"/>
    </row>
    <row r="269">
      <c r="H269" s="85"/>
      <c r="I269" s="85"/>
      <c r="J269" s="85"/>
      <c r="K269" s="86"/>
      <c r="L269" s="86"/>
    </row>
    <row r="270">
      <c r="H270" s="85"/>
      <c r="I270" s="85"/>
      <c r="J270" s="85"/>
      <c r="K270" s="86"/>
      <c r="L270" s="86"/>
    </row>
    <row r="271">
      <c r="H271" s="85"/>
      <c r="I271" s="85"/>
      <c r="J271" s="85"/>
      <c r="K271" s="86"/>
      <c r="L271" s="86"/>
    </row>
    <row r="272">
      <c r="H272" s="85"/>
      <c r="I272" s="85"/>
      <c r="J272" s="85"/>
      <c r="K272" s="86"/>
      <c r="L272" s="86"/>
    </row>
    <row r="273">
      <c r="H273" s="85"/>
      <c r="I273" s="85"/>
      <c r="J273" s="85"/>
      <c r="K273" s="86"/>
      <c r="L273" s="86"/>
    </row>
    <row r="274">
      <c r="H274" s="85"/>
      <c r="I274" s="85"/>
      <c r="J274" s="85"/>
      <c r="K274" s="86"/>
      <c r="L274" s="86"/>
    </row>
    <row r="275">
      <c r="H275" s="85"/>
      <c r="I275" s="85"/>
      <c r="J275" s="85"/>
      <c r="K275" s="86"/>
      <c r="L275" s="86"/>
    </row>
    <row r="276">
      <c r="H276" s="85"/>
      <c r="I276" s="85"/>
      <c r="J276" s="85"/>
      <c r="K276" s="86"/>
      <c r="L276" s="86"/>
    </row>
    <row r="277">
      <c r="H277" s="85"/>
      <c r="I277" s="85"/>
      <c r="J277" s="85"/>
      <c r="K277" s="86"/>
      <c r="L277" s="86"/>
    </row>
    <row r="278">
      <c r="H278" s="85"/>
      <c r="I278" s="85"/>
      <c r="J278" s="85"/>
      <c r="K278" s="86"/>
      <c r="L278" s="86"/>
    </row>
    <row r="279">
      <c r="H279" s="85"/>
      <c r="I279" s="85"/>
      <c r="J279" s="85"/>
      <c r="K279" s="86"/>
      <c r="L279" s="86"/>
    </row>
    <row r="280">
      <c r="H280" s="85"/>
      <c r="I280" s="85"/>
      <c r="J280" s="85"/>
      <c r="K280" s="86"/>
      <c r="L280" s="86"/>
    </row>
    <row r="281">
      <c r="H281" s="85"/>
      <c r="I281" s="85"/>
      <c r="J281" s="85"/>
      <c r="K281" s="86"/>
      <c r="L281" s="86"/>
    </row>
    <row r="282">
      <c r="H282" s="85"/>
      <c r="I282" s="85"/>
      <c r="J282" s="85"/>
      <c r="K282" s="86"/>
      <c r="L282" s="86"/>
    </row>
    <row r="283">
      <c r="H283" s="85"/>
      <c r="I283" s="85"/>
      <c r="J283" s="85"/>
      <c r="K283" s="86"/>
      <c r="L283" s="86"/>
    </row>
    <row r="284">
      <c r="H284" s="85"/>
      <c r="I284" s="85"/>
      <c r="J284" s="85"/>
      <c r="K284" s="86"/>
      <c r="L284" s="86"/>
    </row>
    <row r="285">
      <c r="H285" s="85"/>
      <c r="I285" s="85"/>
      <c r="J285" s="85"/>
      <c r="K285" s="86"/>
      <c r="L285" s="86"/>
    </row>
    <row r="286">
      <c r="H286" s="85"/>
      <c r="I286" s="85"/>
      <c r="J286" s="85"/>
      <c r="K286" s="86"/>
      <c r="L286" s="86"/>
    </row>
    <row r="287">
      <c r="H287" s="85"/>
      <c r="I287" s="85"/>
      <c r="J287" s="85"/>
      <c r="K287" s="86"/>
      <c r="L287" s="86"/>
    </row>
    <row r="288">
      <c r="H288" s="85"/>
      <c r="I288" s="85"/>
      <c r="J288" s="85"/>
      <c r="K288" s="86"/>
      <c r="L288" s="86"/>
    </row>
    <row r="289">
      <c r="H289" s="85"/>
      <c r="I289" s="85"/>
      <c r="J289" s="85"/>
      <c r="K289" s="86"/>
      <c r="L289" s="86"/>
    </row>
    <row r="290">
      <c r="H290" s="85"/>
      <c r="I290" s="85"/>
      <c r="J290" s="85"/>
      <c r="K290" s="86"/>
      <c r="L290" s="86"/>
    </row>
    <row r="291">
      <c r="H291" s="85"/>
      <c r="I291" s="85"/>
      <c r="J291" s="85"/>
      <c r="K291" s="86"/>
      <c r="L291" s="86"/>
    </row>
    <row r="292">
      <c r="H292" s="85"/>
      <c r="I292" s="85"/>
      <c r="J292" s="85"/>
      <c r="K292" s="86"/>
      <c r="L292" s="86"/>
    </row>
    <row r="293">
      <c r="H293" s="85"/>
      <c r="I293" s="85"/>
      <c r="J293" s="85"/>
      <c r="K293" s="86"/>
      <c r="L293" s="86"/>
    </row>
    <row r="294">
      <c r="H294" s="85"/>
      <c r="I294" s="85"/>
      <c r="J294" s="85"/>
      <c r="K294" s="86"/>
      <c r="L294" s="86"/>
    </row>
    <row r="295">
      <c r="H295" s="85"/>
      <c r="I295" s="85"/>
      <c r="J295" s="85"/>
      <c r="K295" s="86"/>
      <c r="L295" s="86"/>
    </row>
    <row r="296">
      <c r="H296" s="85"/>
      <c r="I296" s="85"/>
      <c r="J296" s="85"/>
      <c r="K296" s="86"/>
      <c r="L296" s="86"/>
    </row>
    <row r="297">
      <c r="H297" s="85"/>
      <c r="I297" s="85"/>
      <c r="J297" s="85"/>
      <c r="K297" s="86"/>
      <c r="L297" s="86"/>
    </row>
    <row r="298">
      <c r="H298" s="85"/>
      <c r="I298" s="85"/>
      <c r="J298" s="85"/>
      <c r="K298" s="86"/>
      <c r="L298" s="86"/>
    </row>
    <row r="299">
      <c r="H299" s="85"/>
      <c r="I299" s="85"/>
      <c r="J299" s="85"/>
      <c r="K299" s="86"/>
      <c r="L299" s="86"/>
    </row>
    <row r="300">
      <c r="H300" s="85"/>
      <c r="I300" s="85"/>
      <c r="J300" s="85"/>
      <c r="K300" s="86"/>
      <c r="L300" s="86"/>
    </row>
    <row r="301">
      <c r="H301" s="85"/>
      <c r="I301" s="85"/>
      <c r="J301" s="85"/>
      <c r="K301" s="86"/>
      <c r="L301" s="86"/>
    </row>
    <row r="302">
      <c r="H302" s="85"/>
      <c r="I302" s="85"/>
      <c r="J302" s="85"/>
      <c r="K302" s="86"/>
      <c r="L302" s="86"/>
    </row>
    <row r="303">
      <c r="H303" s="85"/>
      <c r="I303" s="85"/>
      <c r="J303" s="85"/>
      <c r="K303" s="86"/>
      <c r="L303" s="86"/>
    </row>
    <row r="304">
      <c r="H304" s="85"/>
      <c r="I304" s="85"/>
      <c r="J304" s="85"/>
      <c r="K304" s="86"/>
      <c r="L304" s="86"/>
    </row>
    <row r="305">
      <c r="H305" s="85"/>
      <c r="I305" s="85"/>
      <c r="J305" s="85"/>
      <c r="K305" s="86"/>
      <c r="L305" s="86"/>
    </row>
    <row r="306">
      <c r="H306" s="85"/>
      <c r="I306" s="85"/>
      <c r="J306" s="85"/>
      <c r="K306" s="86"/>
      <c r="L306" s="86"/>
    </row>
    <row r="307">
      <c r="H307" s="85"/>
      <c r="I307" s="85"/>
      <c r="J307" s="85"/>
      <c r="K307" s="86"/>
      <c r="L307" s="86"/>
    </row>
    <row r="308">
      <c r="H308" s="85"/>
      <c r="I308" s="85"/>
      <c r="J308" s="85"/>
      <c r="K308" s="86"/>
      <c r="L308" s="86"/>
    </row>
    <row r="309">
      <c r="H309" s="85"/>
      <c r="I309" s="85"/>
      <c r="J309" s="85"/>
      <c r="K309" s="86"/>
      <c r="L309" s="86"/>
    </row>
    <row r="310">
      <c r="H310" s="85"/>
      <c r="I310" s="85"/>
      <c r="J310" s="85"/>
      <c r="K310" s="86"/>
      <c r="L310" s="86"/>
    </row>
    <row r="311">
      <c r="H311" s="85"/>
      <c r="I311" s="85"/>
      <c r="J311" s="85"/>
      <c r="K311" s="86"/>
      <c r="L311" s="86"/>
    </row>
    <row r="312">
      <c r="H312" s="85"/>
      <c r="I312" s="85"/>
      <c r="J312" s="85"/>
      <c r="K312" s="86"/>
      <c r="L312" s="86"/>
    </row>
    <row r="313">
      <c r="H313" s="85"/>
      <c r="I313" s="85"/>
      <c r="J313" s="85"/>
      <c r="K313" s="86"/>
      <c r="L313" s="86"/>
    </row>
    <row r="314">
      <c r="H314" s="85"/>
      <c r="I314" s="85"/>
      <c r="J314" s="85"/>
      <c r="K314" s="86"/>
      <c r="L314" s="86"/>
    </row>
    <row r="315">
      <c r="H315" s="85"/>
      <c r="I315" s="85"/>
      <c r="J315" s="85"/>
      <c r="K315" s="86"/>
      <c r="L315" s="86"/>
    </row>
    <row r="316">
      <c r="H316" s="85"/>
      <c r="I316" s="85"/>
      <c r="J316" s="85"/>
      <c r="K316" s="86"/>
      <c r="L316" s="86"/>
    </row>
    <row r="317">
      <c r="H317" s="85"/>
      <c r="I317" s="85"/>
      <c r="J317" s="85"/>
      <c r="K317" s="86"/>
      <c r="L317" s="86"/>
    </row>
    <row r="318">
      <c r="H318" s="85"/>
      <c r="I318" s="85"/>
      <c r="J318" s="85"/>
      <c r="K318" s="86"/>
      <c r="L318" s="86"/>
    </row>
    <row r="319">
      <c r="H319" s="85"/>
      <c r="I319" s="85"/>
      <c r="J319" s="85"/>
      <c r="K319" s="86"/>
      <c r="L319" s="86"/>
    </row>
    <row r="320">
      <c r="H320" s="85"/>
      <c r="I320" s="85"/>
      <c r="J320" s="85"/>
      <c r="K320" s="86"/>
      <c r="L320" s="86"/>
    </row>
    <row r="321">
      <c r="H321" s="85"/>
      <c r="I321" s="85"/>
      <c r="J321" s="85"/>
      <c r="K321" s="86"/>
      <c r="L321" s="86"/>
    </row>
    <row r="322">
      <c r="H322" s="85"/>
      <c r="I322" s="85"/>
      <c r="J322" s="85"/>
      <c r="K322" s="86"/>
      <c r="L322" s="86"/>
    </row>
    <row r="323">
      <c r="H323" s="85"/>
      <c r="I323" s="85"/>
      <c r="J323" s="85"/>
      <c r="K323" s="86"/>
      <c r="L323" s="86"/>
    </row>
    <row r="324">
      <c r="H324" s="85"/>
      <c r="I324" s="85"/>
      <c r="J324" s="85"/>
      <c r="K324" s="86"/>
      <c r="L324" s="86"/>
    </row>
    <row r="325">
      <c r="H325" s="85"/>
      <c r="I325" s="85"/>
      <c r="J325" s="85"/>
      <c r="K325" s="86"/>
      <c r="L325" s="86"/>
    </row>
    <row r="326">
      <c r="H326" s="85"/>
      <c r="I326" s="85"/>
      <c r="J326" s="85"/>
      <c r="K326" s="86"/>
      <c r="L326" s="86"/>
    </row>
    <row r="327">
      <c r="H327" s="85"/>
      <c r="I327" s="85"/>
      <c r="J327" s="85"/>
      <c r="K327" s="86"/>
      <c r="L327" s="86"/>
    </row>
    <row r="328">
      <c r="H328" s="85"/>
      <c r="I328" s="85"/>
      <c r="J328" s="85"/>
      <c r="K328" s="86"/>
      <c r="L328" s="86"/>
    </row>
    <row r="329">
      <c r="H329" s="85"/>
      <c r="I329" s="85"/>
      <c r="J329" s="85"/>
      <c r="K329" s="86"/>
      <c r="L329" s="86"/>
    </row>
    <row r="330">
      <c r="H330" s="85"/>
      <c r="I330" s="85"/>
      <c r="J330" s="85"/>
      <c r="K330" s="86"/>
      <c r="L330" s="86"/>
    </row>
    <row r="331">
      <c r="H331" s="85"/>
      <c r="I331" s="85"/>
      <c r="J331" s="85"/>
      <c r="K331" s="86"/>
      <c r="L331" s="86"/>
    </row>
    <row r="332">
      <c r="H332" s="85"/>
      <c r="I332" s="85"/>
      <c r="J332" s="85"/>
      <c r="K332" s="86"/>
      <c r="L332" s="86"/>
    </row>
    <row r="333">
      <c r="H333" s="85"/>
      <c r="I333" s="85"/>
      <c r="J333" s="85"/>
      <c r="K333" s="86"/>
      <c r="L333" s="86"/>
    </row>
    <row r="334">
      <c r="H334" s="85"/>
      <c r="I334" s="85"/>
      <c r="J334" s="85"/>
      <c r="K334" s="86"/>
      <c r="L334" s="86"/>
    </row>
    <row r="335">
      <c r="H335" s="85"/>
      <c r="I335" s="85"/>
      <c r="J335" s="85"/>
      <c r="K335" s="86"/>
      <c r="L335" s="86"/>
    </row>
    <row r="336">
      <c r="H336" s="85"/>
      <c r="I336" s="85"/>
      <c r="J336" s="85"/>
      <c r="K336" s="86"/>
      <c r="L336" s="86"/>
    </row>
    <row r="337">
      <c r="H337" s="85"/>
      <c r="I337" s="85"/>
      <c r="J337" s="85"/>
      <c r="K337" s="86"/>
      <c r="L337" s="86"/>
    </row>
    <row r="338">
      <c r="H338" s="85"/>
      <c r="I338" s="85"/>
      <c r="J338" s="85"/>
      <c r="K338" s="86"/>
      <c r="L338" s="86"/>
    </row>
    <row r="339">
      <c r="H339" s="85"/>
      <c r="I339" s="85"/>
      <c r="J339" s="85"/>
      <c r="K339" s="86"/>
      <c r="L339" s="86"/>
    </row>
    <row r="340">
      <c r="H340" s="85"/>
      <c r="I340" s="85"/>
      <c r="J340" s="85"/>
      <c r="K340" s="86"/>
      <c r="L340" s="86"/>
    </row>
    <row r="341">
      <c r="H341" s="85"/>
      <c r="I341" s="85"/>
      <c r="J341" s="85"/>
      <c r="K341" s="86"/>
      <c r="L341" s="86"/>
    </row>
    <row r="342">
      <c r="H342" s="85"/>
      <c r="I342" s="85"/>
      <c r="J342" s="85"/>
      <c r="K342" s="86"/>
      <c r="L342" s="86"/>
    </row>
    <row r="343">
      <c r="H343" s="85"/>
      <c r="I343" s="85"/>
      <c r="J343" s="85"/>
      <c r="K343" s="86"/>
      <c r="L343" s="86"/>
    </row>
    <row r="344">
      <c r="H344" s="85"/>
      <c r="I344" s="85"/>
      <c r="J344" s="85"/>
      <c r="K344" s="86"/>
      <c r="L344" s="86"/>
    </row>
    <row r="345">
      <c r="H345" s="85"/>
      <c r="I345" s="85"/>
      <c r="J345" s="85"/>
      <c r="K345" s="86"/>
      <c r="L345" s="86"/>
    </row>
    <row r="346">
      <c r="H346" s="85"/>
      <c r="I346" s="85"/>
      <c r="J346" s="85"/>
      <c r="K346" s="86"/>
      <c r="L346" s="86"/>
    </row>
    <row r="347">
      <c r="H347" s="85"/>
      <c r="I347" s="85"/>
      <c r="J347" s="85"/>
      <c r="K347" s="86"/>
      <c r="L347" s="86"/>
    </row>
    <row r="348">
      <c r="H348" s="85"/>
      <c r="I348" s="85"/>
      <c r="J348" s="85"/>
      <c r="K348" s="86"/>
      <c r="L348" s="86"/>
    </row>
    <row r="349">
      <c r="H349" s="85"/>
      <c r="I349" s="85"/>
      <c r="J349" s="85"/>
      <c r="K349" s="86"/>
      <c r="L349" s="86"/>
    </row>
    <row r="350">
      <c r="H350" s="85"/>
      <c r="I350" s="85"/>
      <c r="J350" s="85"/>
      <c r="K350" s="86"/>
      <c r="L350" s="86"/>
    </row>
    <row r="351">
      <c r="H351" s="85"/>
      <c r="I351" s="85"/>
      <c r="J351" s="85"/>
      <c r="K351" s="86"/>
      <c r="L351" s="86"/>
    </row>
    <row r="352">
      <c r="H352" s="85"/>
      <c r="I352" s="85"/>
      <c r="J352" s="85"/>
      <c r="K352" s="86"/>
      <c r="L352" s="86"/>
    </row>
    <row r="353">
      <c r="H353" s="85"/>
      <c r="I353" s="85"/>
      <c r="J353" s="85"/>
      <c r="K353" s="86"/>
      <c r="L353" s="86"/>
    </row>
    <row r="354">
      <c r="H354" s="85"/>
      <c r="I354" s="85"/>
      <c r="J354" s="85"/>
      <c r="K354" s="86"/>
      <c r="L354" s="86"/>
    </row>
    <row r="355">
      <c r="H355" s="85"/>
      <c r="I355" s="85"/>
      <c r="J355" s="85"/>
      <c r="K355" s="86"/>
      <c r="L355" s="86"/>
    </row>
    <row r="356">
      <c r="H356" s="85"/>
      <c r="I356" s="85"/>
      <c r="J356" s="85"/>
      <c r="K356" s="86"/>
      <c r="L356" s="86"/>
    </row>
    <row r="357">
      <c r="H357" s="85"/>
      <c r="I357" s="85"/>
      <c r="J357" s="85"/>
      <c r="K357" s="86"/>
      <c r="L357" s="86"/>
    </row>
    <row r="358">
      <c r="H358" s="85"/>
      <c r="I358" s="85"/>
      <c r="J358" s="85"/>
      <c r="K358" s="86"/>
      <c r="L358" s="86"/>
    </row>
    <row r="359">
      <c r="H359" s="85"/>
      <c r="I359" s="85"/>
      <c r="J359" s="85"/>
      <c r="K359" s="86"/>
      <c r="L359" s="86"/>
    </row>
    <row r="360">
      <c r="H360" s="85"/>
      <c r="I360" s="85"/>
      <c r="J360" s="85"/>
      <c r="K360" s="86"/>
      <c r="L360" s="86"/>
    </row>
    <row r="361">
      <c r="H361" s="85"/>
      <c r="I361" s="85"/>
      <c r="J361" s="85"/>
      <c r="K361" s="86"/>
      <c r="L361" s="86"/>
    </row>
    <row r="362">
      <c r="H362" s="85"/>
      <c r="I362" s="85"/>
      <c r="J362" s="85"/>
      <c r="K362" s="86"/>
      <c r="L362" s="86"/>
    </row>
    <row r="363">
      <c r="H363" s="85"/>
      <c r="I363" s="85"/>
      <c r="J363" s="85"/>
      <c r="K363" s="86"/>
      <c r="L363" s="86"/>
    </row>
    <row r="364">
      <c r="H364" s="85"/>
      <c r="I364" s="85"/>
      <c r="J364" s="85"/>
      <c r="K364" s="86"/>
      <c r="L364" s="86"/>
    </row>
    <row r="365">
      <c r="H365" s="85"/>
      <c r="I365" s="85"/>
      <c r="J365" s="85"/>
      <c r="K365" s="86"/>
      <c r="L365" s="86"/>
    </row>
    <row r="366">
      <c r="H366" s="85"/>
      <c r="I366" s="85"/>
      <c r="J366" s="85"/>
      <c r="K366" s="86"/>
      <c r="L366" s="86"/>
    </row>
    <row r="367">
      <c r="H367" s="85"/>
      <c r="I367" s="85"/>
      <c r="J367" s="85"/>
      <c r="K367" s="86"/>
      <c r="L367" s="86"/>
    </row>
    <row r="368">
      <c r="H368" s="85"/>
      <c r="I368" s="85"/>
      <c r="J368" s="85"/>
      <c r="K368" s="86"/>
      <c r="L368" s="86"/>
    </row>
    <row r="369">
      <c r="H369" s="85"/>
      <c r="I369" s="85"/>
      <c r="J369" s="85"/>
      <c r="K369" s="86"/>
      <c r="L369" s="86"/>
    </row>
    <row r="370">
      <c r="H370" s="85"/>
      <c r="I370" s="85"/>
      <c r="J370" s="85"/>
      <c r="K370" s="86"/>
      <c r="L370" s="86"/>
    </row>
    <row r="371">
      <c r="H371" s="85"/>
      <c r="I371" s="85"/>
      <c r="J371" s="85"/>
      <c r="K371" s="86"/>
      <c r="L371" s="86"/>
    </row>
    <row r="372">
      <c r="H372" s="85"/>
      <c r="I372" s="85"/>
      <c r="J372" s="85"/>
      <c r="K372" s="86"/>
      <c r="L372" s="86"/>
    </row>
    <row r="373">
      <c r="H373" s="85"/>
      <c r="I373" s="85"/>
      <c r="J373" s="85"/>
      <c r="K373" s="86"/>
      <c r="L373" s="86"/>
    </row>
    <row r="374">
      <c r="H374" s="85"/>
      <c r="I374" s="85"/>
      <c r="J374" s="85"/>
      <c r="K374" s="86"/>
      <c r="L374" s="86"/>
    </row>
    <row r="375">
      <c r="H375" s="85"/>
      <c r="I375" s="85"/>
      <c r="J375" s="85"/>
      <c r="K375" s="86"/>
      <c r="L375" s="86"/>
    </row>
    <row r="376">
      <c r="H376" s="85"/>
      <c r="I376" s="85"/>
      <c r="J376" s="85"/>
      <c r="K376" s="86"/>
      <c r="L376" s="86"/>
    </row>
    <row r="377">
      <c r="H377" s="85"/>
      <c r="I377" s="85"/>
      <c r="J377" s="85"/>
      <c r="K377" s="86"/>
      <c r="L377" s="86"/>
    </row>
    <row r="378">
      <c r="H378" s="85"/>
      <c r="I378" s="85"/>
      <c r="J378" s="85"/>
      <c r="K378" s="86"/>
      <c r="L378" s="86"/>
    </row>
    <row r="379">
      <c r="H379" s="85"/>
      <c r="I379" s="85"/>
      <c r="J379" s="85"/>
      <c r="K379" s="86"/>
      <c r="L379" s="86"/>
    </row>
    <row r="380">
      <c r="H380" s="85"/>
      <c r="I380" s="85"/>
      <c r="J380" s="85"/>
      <c r="K380" s="86"/>
      <c r="L380" s="86"/>
    </row>
    <row r="381">
      <c r="H381" s="85"/>
      <c r="I381" s="85"/>
      <c r="J381" s="85"/>
      <c r="K381" s="86"/>
      <c r="L381" s="86"/>
    </row>
    <row r="382">
      <c r="H382" s="85"/>
      <c r="I382" s="85"/>
      <c r="J382" s="85"/>
      <c r="K382" s="86"/>
      <c r="L382" s="86"/>
    </row>
    <row r="383">
      <c r="H383" s="85"/>
      <c r="I383" s="85"/>
      <c r="J383" s="85"/>
      <c r="K383" s="86"/>
      <c r="L383" s="86"/>
    </row>
    <row r="384">
      <c r="H384" s="85"/>
      <c r="I384" s="85"/>
      <c r="J384" s="85"/>
      <c r="K384" s="86"/>
      <c r="L384" s="86"/>
    </row>
    <row r="385">
      <c r="H385" s="85"/>
      <c r="I385" s="85"/>
      <c r="J385" s="85"/>
      <c r="K385" s="86"/>
      <c r="L385" s="86"/>
    </row>
    <row r="386">
      <c r="H386" s="85"/>
      <c r="I386" s="85"/>
      <c r="J386" s="85"/>
      <c r="K386" s="86"/>
      <c r="L386" s="86"/>
    </row>
    <row r="387">
      <c r="H387" s="85"/>
      <c r="I387" s="85"/>
      <c r="J387" s="85"/>
      <c r="K387" s="86"/>
      <c r="L387" s="86"/>
    </row>
    <row r="388">
      <c r="H388" s="85"/>
      <c r="I388" s="85"/>
      <c r="J388" s="85"/>
      <c r="K388" s="86"/>
      <c r="L388" s="86"/>
    </row>
    <row r="389">
      <c r="H389" s="85"/>
      <c r="I389" s="85"/>
      <c r="J389" s="85"/>
      <c r="K389" s="86"/>
      <c r="L389" s="86"/>
    </row>
    <row r="390">
      <c r="H390" s="85"/>
      <c r="I390" s="85"/>
      <c r="J390" s="85"/>
      <c r="K390" s="86"/>
      <c r="L390" s="86"/>
    </row>
    <row r="391">
      <c r="H391" s="85"/>
      <c r="I391" s="85"/>
      <c r="J391" s="85"/>
      <c r="K391" s="86"/>
      <c r="L391" s="86"/>
    </row>
    <row r="392">
      <c r="H392" s="85"/>
      <c r="I392" s="85"/>
      <c r="J392" s="85"/>
      <c r="K392" s="86"/>
      <c r="L392" s="86"/>
    </row>
    <row r="393">
      <c r="H393" s="85"/>
      <c r="I393" s="85"/>
      <c r="J393" s="85"/>
      <c r="K393" s="86"/>
      <c r="L393" s="86"/>
    </row>
    <row r="394">
      <c r="H394" s="85"/>
      <c r="I394" s="85"/>
      <c r="J394" s="85"/>
      <c r="K394" s="86"/>
      <c r="L394" s="86"/>
    </row>
    <row r="395">
      <c r="H395" s="85"/>
      <c r="I395" s="85"/>
      <c r="J395" s="85"/>
      <c r="K395" s="86"/>
      <c r="L395" s="86"/>
    </row>
    <row r="396">
      <c r="H396" s="85"/>
      <c r="I396" s="85"/>
      <c r="J396" s="85"/>
      <c r="K396" s="86"/>
      <c r="L396" s="86"/>
    </row>
    <row r="397">
      <c r="H397" s="85"/>
      <c r="I397" s="85"/>
      <c r="J397" s="85"/>
      <c r="K397" s="86"/>
      <c r="L397" s="86"/>
    </row>
    <row r="398">
      <c r="H398" s="85"/>
      <c r="I398" s="85"/>
      <c r="J398" s="85"/>
      <c r="K398" s="86"/>
      <c r="L398" s="86"/>
    </row>
    <row r="399">
      <c r="H399" s="85"/>
      <c r="I399" s="85"/>
      <c r="J399" s="85"/>
      <c r="K399" s="86"/>
      <c r="L399" s="86"/>
    </row>
    <row r="400">
      <c r="H400" s="85"/>
      <c r="I400" s="85"/>
      <c r="J400" s="85"/>
      <c r="K400" s="86"/>
      <c r="L400" s="86"/>
    </row>
    <row r="401">
      <c r="H401" s="85"/>
      <c r="I401" s="85"/>
      <c r="J401" s="85"/>
      <c r="K401" s="86"/>
      <c r="L401" s="86"/>
    </row>
    <row r="402">
      <c r="H402" s="85"/>
      <c r="I402" s="85"/>
      <c r="J402" s="85"/>
      <c r="K402" s="86"/>
      <c r="L402" s="86"/>
    </row>
    <row r="403">
      <c r="H403" s="85"/>
      <c r="I403" s="85"/>
      <c r="J403" s="85"/>
      <c r="K403" s="86"/>
      <c r="L403" s="86"/>
    </row>
    <row r="404">
      <c r="H404" s="85"/>
      <c r="I404" s="85"/>
      <c r="J404" s="85"/>
      <c r="K404" s="86"/>
      <c r="L404" s="86"/>
    </row>
    <row r="405">
      <c r="H405" s="85"/>
      <c r="I405" s="85"/>
      <c r="J405" s="85"/>
      <c r="K405" s="86"/>
      <c r="L405" s="86"/>
    </row>
    <row r="406">
      <c r="H406" s="85"/>
      <c r="I406" s="85"/>
      <c r="J406" s="85"/>
      <c r="K406" s="86"/>
      <c r="L406" s="86"/>
    </row>
    <row r="407">
      <c r="H407" s="85"/>
      <c r="I407" s="85"/>
      <c r="J407" s="85"/>
      <c r="K407" s="86"/>
      <c r="L407" s="86"/>
    </row>
    <row r="408">
      <c r="H408" s="85"/>
      <c r="I408" s="85"/>
      <c r="J408" s="85"/>
      <c r="K408" s="86"/>
      <c r="L408" s="86"/>
    </row>
    <row r="409">
      <c r="H409" s="85"/>
      <c r="I409" s="85"/>
      <c r="J409" s="85"/>
      <c r="K409" s="86"/>
      <c r="L409" s="86"/>
    </row>
    <row r="410">
      <c r="H410" s="85"/>
      <c r="I410" s="85"/>
      <c r="J410" s="85"/>
      <c r="K410" s="86"/>
      <c r="L410" s="86"/>
    </row>
    <row r="411">
      <c r="H411" s="85"/>
      <c r="I411" s="85"/>
      <c r="J411" s="85"/>
      <c r="K411" s="86"/>
      <c r="L411" s="86"/>
    </row>
    <row r="412">
      <c r="H412" s="85"/>
      <c r="I412" s="85"/>
      <c r="J412" s="85"/>
      <c r="K412" s="86"/>
      <c r="L412" s="86"/>
    </row>
    <row r="413">
      <c r="H413" s="85"/>
      <c r="I413" s="85"/>
      <c r="J413" s="85"/>
      <c r="K413" s="86"/>
      <c r="L413" s="86"/>
    </row>
    <row r="414">
      <c r="H414" s="85"/>
      <c r="I414" s="85"/>
      <c r="J414" s="85"/>
      <c r="K414" s="86"/>
      <c r="L414" s="86"/>
    </row>
    <row r="415">
      <c r="H415" s="85"/>
      <c r="I415" s="85"/>
      <c r="J415" s="85"/>
      <c r="K415" s="86"/>
      <c r="L415" s="86"/>
    </row>
    <row r="416">
      <c r="H416" s="85"/>
      <c r="I416" s="85"/>
      <c r="J416" s="85"/>
      <c r="K416" s="86"/>
      <c r="L416" s="86"/>
    </row>
    <row r="417">
      <c r="H417" s="85"/>
      <c r="I417" s="85"/>
      <c r="J417" s="85"/>
      <c r="K417" s="86"/>
      <c r="L417" s="86"/>
    </row>
    <row r="418">
      <c r="H418" s="85"/>
      <c r="I418" s="85"/>
      <c r="J418" s="85"/>
      <c r="K418" s="86"/>
      <c r="L418" s="86"/>
    </row>
    <row r="419">
      <c r="H419" s="85"/>
      <c r="I419" s="85"/>
      <c r="J419" s="85"/>
      <c r="K419" s="86"/>
      <c r="L419" s="86"/>
    </row>
    <row r="420">
      <c r="H420" s="85"/>
      <c r="I420" s="85"/>
      <c r="J420" s="85"/>
      <c r="K420" s="86"/>
      <c r="L420" s="86"/>
    </row>
    <row r="421">
      <c r="H421" s="85"/>
      <c r="I421" s="85"/>
      <c r="J421" s="85"/>
      <c r="K421" s="86"/>
      <c r="L421" s="86"/>
    </row>
    <row r="422">
      <c r="H422" s="85"/>
      <c r="I422" s="85"/>
      <c r="J422" s="85"/>
      <c r="K422" s="86"/>
      <c r="L422" s="86"/>
    </row>
    <row r="423">
      <c r="H423" s="85"/>
      <c r="I423" s="85"/>
      <c r="J423" s="85"/>
      <c r="K423" s="86"/>
      <c r="L423" s="86"/>
    </row>
    <row r="424">
      <c r="H424" s="85"/>
      <c r="I424" s="85"/>
      <c r="J424" s="85"/>
      <c r="K424" s="86"/>
      <c r="L424" s="86"/>
    </row>
    <row r="425">
      <c r="H425" s="85"/>
      <c r="I425" s="85"/>
      <c r="J425" s="85"/>
      <c r="K425" s="86"/>
      <c r="L425" s="86"/>
    </row>
    <row r="426">
      <c r="H426" s="85"/>
      <c r="I426" s="85"/>
      <c r="J426" s="85"/>
      <c r="K426" s="86"/>
      <c r="L426" s="86"/>
    </row>
    <row r="427">
      <c r="H427" s="85"/>
      <c r="I427" s="85"/>
      <c r="J427" s="85"/>
      <c r="K427" s="86"/>
      <c r="L427" s="86"/>
    </row>
    <row r="428">
      <c r="H428" s="85"/>
      <c r="I428" s="85"/>
      <c r="J428" s="85"/>
      <c r="K428" s="86"/>
      <c r="L428" s="86"/>
    </row>
    <row r="429">
      <c r="H429" s="85"/>
      <c r="I429" s="85"/>
      <c r="J429" s="85"/>
      <c r="K429" s="86"/>
      <c r="L429" s="86"/>
    </row>
    <row r="430">
      <c r="H430" s="85"/>
      <c r="I430" s="85"/>
      <c r="J430" s="85"/>
      <c r="K430" s="86"/>
      <c r="L430" s="86"/>
    </row>
    <row r="431">
      <c r="H431" s="85"/>
      <c r="I431" s="85"/>
      <c r="J431" s="85"/>
      <c r="K431" s="86"/>
      <c r="L431" s="86"/>
    </row>
    <row r="432">
      <c r="H432" s="85"/>
      <c r="I432" s="85"/>
      <c r="J432" s="85"/>
      <c r="K432" s="86"/>
      <c r="L432" s="86"/>
    </row>
    <row r="433">
      <c r="H433" s="85"/>
      <c r="I433" s="85"/>
      <c r="J433" s="85"/>
      <c r="K433" s="86"/>
      <c r="L433" s="86"/>
    </row>
    <row r="434">
      <c r="H434" s="85"/>
      <c r="I434" s="85"/>
      <c r="J434" s="85"/>
      <c r="K434" s="86"/>
      <c r="L434" s="86"/>
    </row>
    <row r="435">
      <c r="H435" s="85"/>
      <c r="I435" s="85"/>
      <c r="J435" s="85"/>
      <c r="K435" s="86"/>
      <c r="L435" s="86"/>
    </row>
    <row r="436">
      <c r="H436" s="85"/>
      <c r="I436" s="85"/>
      <c r="J436" s="85"/>
      <c r="K436" s="86"/>
      <c r="L436" s="86"/>
    </row>
    <row r="437">
      <c r="H437" s="85"/>
      <c r="I437" s="85"/>
      <c r="J437" s="85"/>
      <c r="K437" s="86"/>
      <c r="L437" s="86"/>
    </row>
    <row r="438">
      <c r="H438" s="85"/>
      <c r="I438" s="85"/>
      <c r="J438" s="85"/>
      <c r="K438" s="86"/>
      <c r="L438" s="86"/>
    </row>
    <row r="439">
      <c r="H439" s="85"/>
      <c r="I439" s="85"/>
      <c r="J439" s="85"/>
      <c r="K439" s="86"/>
      <c r="L439" s="86"/>
    </row>
    <row r="440">
      <c r="H440" s="85"/>
      <c r="I440" s="85"/>
      <c r="J440" s="85"/>
      <c r="K440" s="86"/>
      <c r="L440" s="86"/>
    </row>
    <row r="441">
      <c r="H441" s="85"/>
      <c r="I441" s="85"/>
      <c r="J441" s="85"/>
      <c r="K441" s="86"/>
      <c r="L441" s="86"/>
    </row>
    <row r="442">
      <c r="H442" s="85"/>
      <c r="I442" s="85"/>
      <c r="J442" s="85"/>
      <c r="K442" s="86"/>
      <c r="L442" s="86"/>
    </row>
    <row r="443">
      <c r="H443" s="85"/>
      <c r="I443" s="85"/>
      <c r="J443" s="85"/>
      <c r="K443" s="86"/>
      <c r="L443" s="86"/>
    </row>
    <row r="444">
      <c r="H444" s="85"/>
      <c r="I444" s="85"/>
      <c r="J444" s="85"/>
      <c r="K444" s="86"/>
      <c r="L444" s="86"/>
    </row>
    <row r="445">
      <c r="H445" s="85"/>
      <c r="I445" s="85"/>
      <c r="J445" s="85"/>
      <c r="K445" s="86"/>
      <c r="L445" s="86"/>
    </row>
    <row r="446">
      <c r="H446" s="85"/>
      <c r="I446" s="85"/>
      <c r="J446" s="85"/>
      <c r="K446" s="86"/>
      <c r="L446" s="86"/>
    </row>
    <row r="447">
      <c r="H447" s="85"/>
      <c r="I447" s="85"/>
      <c r="J447" s="85"/>
      <c r="K447" s="86"/>
      <c r="L447" s="86"/>
    </row>
    <row r="448">
      <c r="H448" s="85"/>
      <c r="I448" s="85"/>
      <c r="J448" s="85"/>
      <c r="K448" s="86"/>
      <c r="L448" s="86"/>
    </row>
    <row r="449">
      <c r="H449" s="85"/>
      <c r="I449" s="85"/>
      <c r="J449" s="85"/>
      <c r="K449" s="86"/>
      <c r="L449" s="86"/>
    </row>
    <row r="450">
      <c r="H450" s="85"/>
      <c r="I450" s="85"/>
      <c r="J450" s="85"/>
      <c r="K450" s="86"/>
      <c r="L450" s="86"/>
    </row>
    <row r="451">
      <c r="H451" s="85"/>
      <c r="I451" s="85"/>
      <c r="J451" s="85"/>
      <c r="K451" s="86"/>
      <c r="L451" s="86"/>
    </row>
    <row r="452">
      <c r="H452" s="85"/>
      <c r="I452" s="85"/>
      <c r="J452" s="85"/>
      <c r="K452" s="86"/>
      <c r="L452" s="86"/>
    </row>
    <row r="453">
      <c r="H453" s="85"/>
      <c r="I453" s="85"/>
      <c r="J453" s="85"/>
      <c r="K453" s="86"/>
      <c r="L453" s="86"/>
    </row>
    <row r="454">
      <c r="H454" s="85"/>
      <c r="I454" s="85"/>
      <c r="J454" s="85"/>
      <c r="K454" s="86"/>
      <c r="L454" s="86"/>
    </row>
    <row r="455">
      <c r="H455" s="85"/>
      <c r="I455" s="85"/>
      <c r="J455" s="85"/>
      <c r="K455" s="86"/>
      <c r="L455" s="86"/>
    </row>
    <row r="456">
      <c r="H456" s="85"/>
      <c r="I456" s="85"/>
      <c r="J456" s="85"/>
      <c r="K456" s="86"/>
      <c r="L456" s="86"/>
    </row>
    <row r="457">
      <c r="H457" s="85"/>
      <c r="I457" s="85"/>
      <c r="J457" s="85"/>
      <c r="K457" s="86"/>
      <c r="L457" s="86"/>
    </row>
    <row r="458">
      <c r="H458" s="85"/>
      <c r="I458" s="85"/>
      <c r="J458" s="85"/>
      <c r="K458" s="86"/>
      <c r="L458" s="86"/>
    </row>
    <row r="459">
      <c r="H459" s="85"/>
      <c r="I459" s="85"/>
      <c r="J459" s="85"/>
      <c r="K459" s="86"/>
      <c r="L459" s="86"/>
    </row>
    <row r="460">
      <c r="H460" s="85"/>
      <c r="I460" s="85"/>
      <c r="J460" s="85"/>
      <c r="K460" s="86"/>
      <c r="L460" s="86"/>
    </row>
    <row r="461">
      <c r="H461" s="85"/>
      <c r="I461" s="85"/>
      <c r="J461" s="85"/>
      <c r="K461" s="86"/>
      <c r="L461" s="86"/>
    </row>
    <row r="462">
      <c r="H462" s="85"/>
      <c r="I462" s="85"/>
      <c r="J462" s="85"/>
      <c r="K462" s="86"/>
      <c r="L462" s="86"/>
    </row>
    <row r="463">
      <c r="H463" s="85"/>
      <c r="I463" s="85"/>
      <c r="J463" s="85"/>
      <c r="K463" s="86"/>
      <c r="L463" s="86"/>
    </row>
    <row r="464">
      <c r="H464" s="85"/>
      <c r="I464" s="85"/>
      <c r="J464" s="85"/>
      <c r="K464" s="86"/>
      <c r="L464" s="86"/>
    </row>
    <row r="465">
      <c r="H465" s="85"/>
      <c r="I465" s="85"/>
      <c r="J465" s="85"/>
      <c r="K465" s="86"/>
      <c r="L465" s="86"/>
    </row>
    <row r="466">
      <c r="H466" s="85"/>
      <c r="I466" s="85"/>
      <c r="J466" s="85"/>
      <c r="K466" s="86"/>
      <c r="L466" s="86"/>
    </row>
    <row r="467">
      <c r="H467" s="85"/>
      <c r="I467" s="85"/>
      <c r="J467" s="85"/>
      <c r="K467" s="86"/>
      <c r="L467" s="86"/>
    </row>
    <row r="468">
      <c r="H468" s="85"/>
      <c r="I468" s="85"/>
      <c r="J468" s="85"/>
      <c r="K468" s="86"/>
      <c r="L468" s="86"/>
    </row>
    <row r="469">
      <c r="H469" s="85"/>
      <c r="I469" s="85"/>
      <c r="J469" s="85"/>
      <c r="K469" s="86"/>
      <c r="L469" s="86"/>
    </row>
    <row r="470">
      <c r="H470" s="85"/>
      <c r="I470" s="85"/>
      <c r="J470" s="85"/>
      <c r="K470" s="86"/>
      <c r="L470" s="86"/>
    </row>
    <row r="471">
      <c r="H471" s="85"/>
      <c r="I471" s="85"/>
      <c r="J471" s="85"/>
      <c r="K471" s="86"/>
      <c r="L471" s="86"/>
    </row>
    <row r="472">
      <c r="H472" s="85"/>
      <c r="I472" s="85"/>
      <c r="J472" s="85"/>
      <c r="K472" s="86"/>
      <c r="L472" s="86"/>
    </row>
    <row r="473">
      <c r="H473" s="85"/>
      <c r="I473" s="85"/>
      <c r="J473" s="85"/>
      <c r="K473" s="86"/>
      <c r="L473" s="86"/>
    </row>
    <row r="474">
      <c r="H474" s="85"/>
      <c r="I474" s="85"/>
      <c r="J474" s="85"/>
      <c r="K474" s="86"/>
      <c r="L474" s="86"/>
    </row>
    <row r="475">
      <c r="H475" s="85"/>
      <c r="I475" s="85"/>
      <c r="J475" s="85"/>
      <c r="K475" s="86"/>
      <c r="L475" s="86"/>
    </row>
    <row r="476">
      <c r="H476" s="85"/>
      <c r="I476" s="85"/>
      <c r="J476" s="85"/>
      <c r="K476" s="86"/>
      <c r="L476" s="86"/>
    </row>
    <row r="477">
      <c r="H477" s="85"/>
      <c r="I477" s="85"/>
      <c r="J477" s="85"/>
      <c r="K477" s="86"/>
      <c r="L477" s="86"/>
    </row>
    <row r="478">
      <c r="H478" s="85"/>
      <c r="I478" s="85"/>
      <c r="J478" s="85"/>
      <c r="K478" s="86"/>
      <c r="L478" s="86"/>
    </row>
    <row r="479">
      <c r="H479" s="85"/>
      <c r="I479" s="85"/>
      <c r="J479" s="85"/>
      <c r="K479" s="86"/>
      <c r="L479" s="86"/>
    </row>
    <row r="480">
      <c r="H480" s="85"/>
      <c r="I480" s="85"/>
      <c r="J480" s="85"/>
      <c r="K480" s="86"/>
      <c r="L480" s="86"/>
    </row>
    <row r="481">
      <c r="H481" s="85"/>
      <c r="I481" s="85"/>
      <c r="J481" s="85"/>
      <c r="K481" s="86"/>
      <c r="L481" s="86"/>
    </row>
    <row r="482">
      <c r="H482" s="85"/>
      <c r="I482" s="85"/>
      <c r="J482" s="85"/>
      <c r="K482" s="86"/>
      <c r="L482" s="86"/>
    </row>
    <row r="483">
      <c r="H483" s="85"/>
      <c r="I483" s="85"/>
      <c r="J483" s="85"/>
      <c r="K483" s="86"/>
      <c r="L483" s="86"/>
    </row>
    <row r="484">
      <c r="H484" s="85"/>
      <c r="I484" s="85"/>
      <c r="J484" s="85"/>
      <c r="K484" s="86"/>
      <c r="L484" s="86"/>
    </row>
    <row r="485">
      <c r="H485" s="85"/>
      <c r="I485" s="85"/>
      <c r="J485" s="85"/>
      <c r="K485" s="86"/>
      <c r="L485" s="86"/>
    </row>
    <row r="486">
      <c r="H486" s="85"/>
      <c r="I486" s="85"/>
      <c r="J486" s="85"/>
      <c r="K486" s="86"/>
      <c r="L486" s="86"/>
    </row>
    <row r="487">
      <c r="H487" s="85"/>
      <c r="I487" s="85"/>
      <c r="J487" s="85"/>
      <c r="K487" s="86"/>
      <c r="L487" s="86"/>
    </row>
    <row r="488">
      <c r="H488" s="85"/>
      <c r="I488" s="85"/>
      <c r="J488" s="85"/>
      <c r="K488" s="86"/>
      <c r="L488" s="86"/>
    </row>
    <row r="489">
      <c r="H489" s="85"/>
      <c r="I489" s="85"/>
      <c r="J489" s="85"/>
      <c r="K489" s="86"/>
      <c r="L489" s="86"/>
    </row>
    <row r="490">
      <c r="H490" s="85"/>
      <c r="I490" s="85"/>
      <c r="J490" s="85"/>
      <c r="K490" s="86"/>
      <c r="L490" s="86"/>
    </row>
    <row r="491">
      <c r="H491" s="85"/>
      <c r="I491" s="85"/>
      <c r="J491" s="85"/>
      <c r="K491" s="86"/>
      <c r="L491" s="86"/>
    </row>
    <row r="492">
      <c r="H492" s="85"/>
      <c r="I492" s="85"/>
      <c r="J492" s="85"/>
      <c r="K492" s="86"/>
      <c r="L492" s="86"/>
    </row>
    <row r="493">
      <c r="H493" s="85"/>
      <c r="I493" s="85"/>
      <c r="J493" s="85"/>
      <c r="K493" s="86"/>
      <c r="L493" s="86"/>
    </row>
    <row r="494">
      <c r="H494" s="85"/>
      <c r="I494" s="85"/>
      <c r="J494" s="85"/>
      <c r="K494" s="86"/>
      <c r="L494" s="86"/>
    </row>
    <row r="495">
      <c r="H495" s="85"/>
      <c r="I495" s="85"/>
      <c r="J495" s="85"/>
      <c r="K495" s="86"/>
      <c r="L495" s="86"/>
    </row>
    <row r="496">
      <c r="H496" s="85"/>
      <c r="I496" s="85"/>
      <c r="J496" s="85"/>
      <c r="K496" s="86"/>
      <c r="L496" s="86"/>
    </row>
    <row r="497">
      <c r="H497" s="85"/>
      <c r="I497" s="85"/>
      <c r="J497" s="85"/>
      <c r="K497" s="86"/>
      <c r="L497" s="86"/>
    </row>
    <row r="498">
      <c r="H498" s="85"/>
      <c r="I498" s="85"/>
      <c r="J498" s="85"/>
      <c r="K498" s="86"/>
      <c r="L498" s="86"/>
    </row>
    <row r="499">
      <c r="H499" s="85"/>
      <c r="I499" s="85"/>
      <c r="J499" s="85"/>
      <c r="K499" s="86"/>
      <c r="L499" s="86"/>
    </row>
    <row r="500">
      <c r="H500" s="85"/>
      <c r="I500" s="85"/>
      <c r="J500" s="85"/>
      <c r="K500" s="86"/>
      <c r="L500" s="86"/>
    </row>
    <row r="501">
      <c r="H501" s="85"/>
      <c r="I501" s="85"/>
      <c r="J501" s="85"/>
      <c r="K501" s="86"/>
      <c r="L501" s="86"/>
    </row>
    <row r="502">
      <c r="H502" s="85"/>
      <c r="I502" s="85"/>
      <c r="J502" s="85"/>
      <c r="K502" s="86"/>
      <c r="L502" s="86"/>
    </row>
    <row r="503">
      <c r="H503" s="85"/>
      <c r="I503" s="85"/>
      <c r="J503" s="85"/>
      <c r="K503" s="86"/>
      <c r="L503" s="86"/>
    </row>
    <row r="504">
      <c r="H504" s="85"/>
      <c r="I504" s="85"/>
      <c r="J504" s="85"/>
      <c r="K504" s="86"/>
      <c r="L504" s="86"/>
    </row>
    <row r="505">
      <c r="H505" s="85"/>
      <c r="I505" s="85"/>
      <c r="J505" s="85"/>
      <c r="K505" s="86"/>
      <c r="L505" s="86"/>
    </row>
    <row r="506">
      <c r="H506" s="85"/>
      <c r="I506" s="85"/>
      <c r="J506" s="85"/>
      <c r="K506" s="86"/>
      <c r="L506" s="86"/>
    </row>
    <row r="507">
      <c r="H507" s="85"/>
      <c r="I507" s="85"/>
      <c r="J507" s="85"/>
      <c r="K507" s="86"/>
      <c r="L507" s="86"/>
    </row>
    <row r="508">
      <c r="H508" s="85"/>
      <c r="I508" s="85"/>
      <c r="J508" s="85"/>
      <c r="K508" s="86"/>
      <c r="L508" s="86"/>
    </row>
    <row r="509">
      <c r="H509" s="85"/>
      <c r="I509" s="85"/>
      <c r="J509" s="85"/>
      <c r="K509" s="86"/>
      <c r="L509" s="86"/>
    </row>
    <row r="510">
      <c r="H510" s="85"/>
      <c r="I510" s="85"/>
      <c r="J510" s="85"/>
      <c r="K510" s="86"/>
      <c r="L510" s="86"/>
    </row>
    <row r="511">
      <c r="H511" s="85"/>
      <c r="I511" s="85"/>
      <c r="J511" s="85"/>
      <c r="K511" s="86"/>
      <c r="L511" s="86"/>
    </row>
    <row r="512">
      <c r="H512" s="85"/>
      <c r="I512" s="85"/>
      <c r="J512" s="85"/>
      <c r="K512" s="86"/>
      <c r="L512" s="86"/>
    </row>
    <row r="513">
      <c r="H513" s="85"/>
      <c r="I513" s="85"/>
      <c r="J513" s="85"/>
      <c r="K513" s="86"/>
      <c r="L513" s="86"/>
    </row>
    <row r="514">
      <c r="H514" s="85"/>
      <c r="I514" s="85"/>
      <c r="J514" s="85"/>
      <c r="K514" s="86"/>
      <c r="L514" s="86"/>
    </row>
    <row r="515">
      <c r="H515" s="85"/>
      <c r="I515" s="85"/>
      <c r="J515" s="85"/>
      <c r="K515" s="86"/>
      <c r="L515" s="86"/>
    </row>
    <row r="516">
      <c r="H516" s="85"/>
      <c r="I516" s="85"/>
      <c r="J516" s="85"/>
      <c r="K516" s="86"/>
      <c r="L516" s="86"/>
    </row>
    <row r="517">
      <c r="H517" s="85"/>
      <c r="I517" s="85"/>
      <c r="J517" s="85"/>
      <c r="K517" s="86"/>
      <c r="L517" s="86"/>
    </row>
    <row r="518">
      <c r="H518" s="85"/>
      <c r="I518" s="85"/>
      <c r="J518" s="85"/>
      <c r="K518" s="86"/>
      <c r="L518" s="86"/>
    </row>
    <row r="519">
      <c r="H519" s="85"/>
      <c r="I519" s="85"/>
      <c r="J519" s="85"/>
      <c r="K519" s="86"/>
      <c r="L519" s="86"/>
    </row>
    <row r="520">
      <c r="H520" s="85"/>
      <c r="I520" s="85"/>
      <c r="J520" s="85"/>
      <c r="K520" s="86"/>
      <c r="L520" s="86"/>
    </row>
    <row r="521">
      <c r="H521" s="85"/>
      <c r="I521" s="85"/>
      <c r="J521" s="85"/>
      <c r="K521" s="86"/>
      <c r="L521" s="86"/>
    </row>
    <row r="522">
      <c r="H522" s="85"/>
      <c r="I522" s="85"/>
      <c r="J522" s="85"/>
      <c r="K522" s="86"/>
      <c r="L522" s="86"/>
    </row>
    <row r="523">
      <c r="H523" s="85"/>
      <c r="I523" s="85"/>
      <c r="J523" s="85"/>
      <c r="K523" s="86"/>
      <c r="L523" s="86"/>
    </row>
    <row r="524">
      <c r="H524" s="85"/>
      <c r="I524" s="85"/>
      <c r="J524" s="85"/>
      <c r="K524" s="86"/>
      <c r="L524" s="86"/>
    </row>
    <row r="525">
      <c r="H525" s="85"/>
      <c r="I525" s="85"/>
      <c r="J525" s="85"/>
      <c r="K525" s="86"/>
      <c r="L525" s="86"/>
    </row>
    <row r="526">
      <c r="H526" s="85"/>
      <c r="I526" s="85"/>
      <c r="J526" s="85"/>
      <c r="K526" s="86"/>
      <c r="L526" s="86"/>
    </row>
    <row r="527">
      <c r="H527" s="85"/>
      <c r="I527" s="85"/>
      <c r="J527" s="85"/>
      <c r="K527" s="86"/>
      <c r="L527" s="86"/>
    </row>
    <row r="528">
      <c r="H528" s="85"/>
      <c r="I528" s="85"/>
      <c r="J528" s="85"/>
      <c r="K528" s="86"/>
      <c r="L528" s="86"/>
    </row>
    <row r="529">
      <c r="H529" s="85"/>
      <c r="I529" s="85"/>
      <c r="J529" s="85"/>
      <c r="K529" s="86"/>
      <c r="L529" s="86"/>
    </row>
    <row r="530">
      <c r="H530" s="85"/>
      <c r="I530" s="85"/>
      <c r="J530" s="85"/>
      <c r="K530" s="86"/>
      <c r="L530" s="86"/>
    </row>
    <row r="531">
      <c r="H531" s="85"/>
      <c r="I531" s="85"/>
      <c r="J531" s="85"/>
      <c r="K531" s="86"/>
      <c r="L531" s="86"/>
    </row>
    <row r="532">
      <c r="H532" s="85"/>
      <c r="I532" s="85"/>
      <c r="J532" s="85"/>
      <c r="K532" s="86"/>
      <c r="L532" s="86"/>
    </row>
    <row r="533">
      <c r="H533" s="85"/>
      <c r="I533" s="85"/>
      <c r="J533" s="85"/>
      <c r="K533" s="86"/>
      <c r="L533" s="86"/>
    </row>
    <row r="534">
      <c r="H534" s="85"/>
      <c r="I534" s="85"/>
      <c r="J534" s="85"/>
      <c r="K534" s="86"/>
      <c r="L534" s="86"/>
    </row>
    <row r="535">
      <c r="H535" s="85"/>
      <c r="I535" s="85"/>
      <c r="J535" s="85"/>
      <c r="K535" s="86"/>
      <c r="L535" s="86"/>
    </row>
    <row r="536">
      <c r="H536" s="85"/>
      <c r="I536" s="85"/>
      <c r="J536" s="85"/>
      <c r="K536" s="86"/>
      <c r="L536" s="86"/>
    </row>
    <row r="537">
      <c r="H537" s="85"/>
      <c r="I537" s="85"/>
      <c r="J537" s="85"/>
      <c r="K537" s="86"/>
      <c r="L537" s="86"/>
    </row>
    <row r="538">
      <c r="H538" s="85"/>
      <c r="I538" s="85"/>
      <c r="J538" s="85"/>
      <c r="K538" s="86"/>
      <c r="L538" s="86"/>
    </row>
    <row r="539">
      <c r="H539" s="85"/>
      <c r="I539" s="85"/>
      <c r="J539" s="85"/>
      <c r="K539" s="86"/>
      <c r="L539" s="86"/>
    </row>
    <row r="540">
      <c r="H540" s="85"/>
      <c r="I540" s="85"/>
      <c r="J540" s="85"/>
      <c r="K540" s="86"/>
      <c r="L540" s="86"/>
    </row>
    <row r="541">
      <c r="H541" s="85"/>
      <c r="I541" s="85"/>
      <c r="J541" s="85"/>
      <c r="K541" s="86"/>
      <c r="L541" s="86"/>
    </row>
    <row r="542">
      <c r="H542" s="85"/>
      <c r="I542" s="85"/>
      <c r="J542" s="85"/>
      <c r="K542" s="86"/>
      <c r="L542" s="86"/>
    </row>
    <row r="543">
      <c r="H543" s="85"/>
      <c r="I543" s="85"/>
      <c r="J543" s="85"/>
      <c r="K543" s="86"/>
      <c r="L543" s="86"/>
    </row>
    <row r="544">
      <c r="H544" s="85"/>
      <c r="I544" s="85"/>
      <c r="J544" s="85"/>
      <c r="K544" s="86"/>
      <c r="L544" s="86"/>
    </row>
    <row r="545">
      <c r="H545" s="85"/>
      <c r="I545" s="85"/>
      <c r="J545" s="85"/>
      <c r="K545" s="86"/>
      <c r="L545" s="86"/>
    </row>
    <row r="546">
      <c r="H546" s="85"/>
      <c r="I546" s="85"/>
      <c r="J546" s="85"/>
      <c r="K546" s="86"/>
      <c r="L546" s="86"/>
    </row>
    <row r="547">
      <c r="H547" s="85"/>
      <c r="I547" s="85"/>
      <c r="J547" s="85"/>
      <c r="K547" s="86"/>
      <c r="L547" s="86"/>
    </row>
    <row r="548">
      <c r="H548" s="85"/>
      <c r="I548" s="85"/>
      <c r="J548" s="85"/>
      <c r="K548" s="86"/>
      <c r="L548" s="86"/>
    </row>
    <row r="549">
      <c r="H549" s="85"/>
      <c r="I549" s="85"/>
      <c r="J549" s="85"/>
      <c r="K549" s="86"/>
      <c r="L549" s="86"/>
    </row>
    <row r="550">
      <c r="H550" s="85"/>
      <c r="I550" s="85"/>
      <c r="J550" s="85"/>
      <c r="K550" s="86"/>
      <c r="L550" s="86"/>
    </row>
    <row r="551">
      <c r="H551" s="85"/>
      <c r="I551" s="85"/>
      <c r="J551" s="85"/>
      <c r="K551" s="86"/>
      <c r="L551" s="86"/>
    </row>
    <row r="552">
      <c r="H552" s="85"/>
      <c r="I552" s="85"/>
      <c r="J552" s="85"/>
      <c r="K552" s="86"/>
      <c r="L552" s="86"/>
    </row>
    <row r="553">
      <c r="H553" s="85"/>
      <c r="I553" s="85"/>
      <c r="J553" s="85"/>
      <c r="K553" s="86"/>
      <c r="L553" s="86"/>
    </row>
    <row r="554">
      <c r="H554" s="85"/>
      <c r="I554" s="85"/>
      <c r="J554" s="85"/>
      <c r="K554" s="86"/>
      <c r="L554" s="86"/>
    </row>
    <row r="555">
      <c r="H555" s="85"/>
      <c r="I555" s="85"/>
      <c r="J555" s="85"/>
      <c r="K555" s="86"/>
      <c r="L555" s="86"/>
    </row>
    <row r="556">
      <c r="H556" s="85"/>
      <c r="I556" s="85"/>
      <c r="J556" s="85"/>
      <c r="K556" s="86"/>
      <c r="L556" s="86"/>
    </row>
    <row r="557">
      <c r="H557" s="85"/>
      <c r="I557" s="85"/>
      <c r="J557" s="85"/>
      <c r="K557" s="86"/>
      <c r="L557" s="86"/>
    </row>
    <row r="558">
      <c r="H558" s="85"/>
      <c r="I558" s="85"/>
      <c r="J558" s="85"/>
      <c r="K558" s="86"/>
      <c r="L558" s="86"/>
    </row>
    <row r="559">
      <c r="H559" s="85"/>
      <c r="I559" s="85"/>
      <c r="J559" s="85"/>
      <c r="K559" s="86"/>
      <c r="L559" s="86"/>
    </row>
    <row r="560">
      <c r="H560" s="85"/>
      <c r="I560" s="85"/>
      <c r="J560" s="85"/>
      <c r="K560" s="86"/>
      <c r="L560" s="86"/>
    </row>
    <row r="561">
      <c r="H561" s="85"/>
      <c r="I561" s="85"/>
      <c r="J561" s="85"/>
      <c r="K561" s="86"/>
      <c r="L561" s="86"/>
    </row>
    <row r="562">
      <c r="H562" s="85"/>
      <c r="I562" s="85"/>
      <c r="J562" s="85"/>
      <c r="K562" s="86"/>
      <c r="L562" s="86"/>
    </row>
    <row r="563">
      <c r="H563" s="85"/>
      <c r="I563" s="85"/>
      <c r="J563" s="85"/>
      <c r="K563" s="86"/>
      <c r="L563" s="86"/>
    </row>
    <row r="564">
      <c r="H564" s="85"/>
      <c r="I564" s="85"/>
      <c r="J564" s="85"/>
      <c r="K564" s="86"/>
      <c r="L564" s="86"/>
    </row>
    <row r="565">
      <c r="H565" s="85"/>
      <c r="I565" s="85"/>
      <c r="J565" s="85"/>
      <c r="K565" s="86"/>
      <c r="L565" s="86"/>
    </row>
    <row r="566">
      <c r="H566" s="85"/>
      <c r="I566" s="85"/>
      <c r="J566" s="85"/>
      <c r="K566" s="86"/>
      <c r="L566" s="86"/>
    </row>
    <row r="567">
      <c r="H567" s="85"/>
      <c r="I567" s="85"/>
      <c r="J567" s="85"/>
      <c r="K567" s="86"/>
      <c r="L567" s="86"/>
    </row>
    <row r="568">
      <c r="H568" s="85"/>
      <c r="I568" s="85"/>
      <c r="J568" s="85"/>
      <c r="K568" s="86"/>
      <c r="L568" s="86"/>
    </row>
    <row r="569">
      <c r="H569" s="85"/>
      <c r="I569" s="85"/>
      <c r="J569" s="85"/>
      <c r="K569" s="86"/>
      <c r="L569" s="86"/>
    </row>
    <row r="570">
      <c r="H570" s="85"/>
      <c r="I570" s="85"/>
      <c r="J570" s="85"/>
      <c r="K570" s="86"/>
      <c r="L570" s="86"/>
    </row>
    <row r="571">
      <c r="H571" s="85"/>
      <c r="I571" s="85"/>
      <c r="J571" s="85"/>
      <c r="K571" s="86"/>
      <c r="L571" s="86"/>
    </row>
    <row r="572">
      <c r="H572" s="85"/>
      <c r="I572" s="85"/>
      <c r="J572" s="85"/>
      <c r="K572" s="86"/>
      <c r="L572" s="86"/>
    </row>
    <row r="573">
      <c r="H573" s="85"/>
      <c r="I573" s="85"/>
      <c r="J573" s="85"/>
      <c r="K573" s="86"/>
      <c r="L573" s="86"/>
    </row>
    <row r="574">
      <c r="H574" s="85"/>
      <c r="I574" s="85"/>
      <c r="J574" s="85"/>
      <c r="K574" s="86"/>
      <c r="L574" s="86"/>
    </row>
    <row r="575">
      <c r="H575" s="85"/>
      <c r="I575" s="85"/>
      <c r="J575" s="85"/>
      <c r="K575" s="86"/>
      <c r="L575" s="86"/>
    </row>
    <row r="576">
      <c r="H576" s="85"/>
      <c r="I576" s="85"/>
      <c r="J576" s="85"/>
      <c r="K576" s="86"/>
      <c r="L576" s="86"/>
    </row>
    <row r="577">
      <c r="H577" s="85"/>
      <c r="I577" s="85"/>
      <c r="J577" s="85"/>
      <c r="K577" s="86"/>
      <c r="L577" s="86"/>
    </row>
    <row r="578">
      <c r="H578" s="85"/>
      <c r="I578" s="85"/>
      <c r="J578" s="85"/>
      <c r="K578" s="86"/>
      <c r="L578" s="86"/>
    </row>
    <row r="579">
      <c r="H579" s="85"/>
      <c r="I579" s="85"/>
      <c r="J579" s="85"/>
      <c r="K579" s="86"/>
      <c r="L579" s="86"/>
    </row>
    <row r="580">
      <c r="H580" s="85"/>
      <c r="I580" s="85"/>
      <c r="J580" s="85"/>
      <c r="K580" s="86"/>
      <c r="L580" s="86"/>
    </row>
    <row r="581">
      <c r="H581" s="85"/>
      <c r="I581" s="85"/>
      <c r="J581" s="85"/>
      <c r="K581" s="86"/>
      <c r="L581" s="86"/>
    </row>
    <row r="582">
      <c r="H582" s="85"/>
      <c r="I582" s="85"/>
      <c r="J582" s="85"/>
      <c r="K582" s="86"/>
      <c r="L582" s="86"/>
    </row>
    <row r="583">
      <c r="H583" s="85"/>
      <c r="I583" s="85"/>
      <c r="J583" s="85"/>
      <c r="K583" s="86"/>
      <c r="L583" s="86"/>
    </row>
    <row r="584">
      <c r="H584" s="85"/>
      <c r="I584" s="85"/>
      <c r="J584" s="85"/>
      <c r="K584" s="86"/>
      <c r="L584" s="86"/>
    </row>
    <row r="585">
      <c r="H585" s="85"/>
      <c r="I585" s="85"/>
      <c r="J585" s="85"/>
      <c r="K585" s="86"/>
      <c r="L585" s="86"/>
    </row>
    <row r="586">
      <c r="H586" s="85"/>
      <c r="I586" s="85"/>
      <c r="J586" s="85"/>
      <c r="K586" s="86"/>
      <c r="L586" s="86"/>
    </row>
    <row r="587">
      <c r="H587" s="85"/>
      <c r="I587" s="85"/>
      <c r="J587" s="85"/>
      <c r="K587" s="86"/>
      <c r="L587" s="86"/>
    </row>
    <row r="588">
      <c r="H588" s="85"/>
      <c r="I588" s="85"/>
      <c r="J588" s="85"/>
      <c r="K588" s="86"/>
      <c r="L588" s="86"/>
    </row>
    <row r="589">
      <c r="H589" s="85"/>
      <c r="I589" s="85"/>
      <c r="J589" s="85"/>
      <c r="K589" s="86"/>
      <c r="L589" s="86"/>
    </row>
    <row r="590">
      <c r="H590" s="85"/>
      <c r="I590" s="85"/>
      <c r="J590" s="85"/>
      <c r="K590" s="86"/>
      <c r="L590" s="86"/>
    </row>
    <row r="591">
      <c r="H591" s="85"/>
      <c r="I591" s="85"/>
      <c r="J591" s="85"/>
      <c r="K591" s="86"/>
      <c r="L591" s="86"/>
    </row>
    <row r="592">
      <c r="H592" s="85"/>
      <c r="I592" s="85"/>
      <c r="J592" s="85"/>
      <c r="K592" s="86"/>
      <c r="L592" s="86"/>
    </row>
    <row r="593">
      <c r="H593" s="85"/>
      <c r="I593" s="85"/>
      <c r="J593" s="85"/>
      <c r="K593" s="86"/>
      <c r="L593" s="86"/>
    </row>
    <row r="594">
      <c r="H594" s="85"/>
      <c r="I594" s="85"/>
      <c r="J594" s="85"/>
      <c r="K594" s="86"/>
      <c r="L594" s="86"/>
    </row>
    <row r="595">
      <c r="H595" s="85"/>
      <c r="I595" s="85"/>
      <c r="J595" s="85"/>
      <c r="K595" s="86"/>
      <c r="L595" s="86"/>
    </row>
    <row r="596">
      <c r="H596" s="85"/>
      <c r="I596" s="85"/>
      <c r="J596" s="85"/>
      <c r="K596" s="86"/>
      <c r="L596" s="86"/>
    </row>
    <row r="597">
      <c r="H597" s="85"/>
      <c r="I597" s="85"/>
      <c r="J597" s="85"/>
      <c r="K597" s="86"/>
      <c r="L597" s="86"/>
    </row>
    <row r="598">
      <c r="H598" s="85"/>
      <c r="I598" s="85"/>
      <c r="J598" s="85"/>
      <c r="K598" s="86"/>
      <c r="L598" s="86"/>
    </row>
    <row r="599">
      <c r="H599" s="85"/>
      <c r="I599" s="85"/>
      <c r="J599" s="85"/>
      <c r="K599" s="86"/>
      <c r="L599" s="86"/>
    </row>
    <row r="600">
      <c r="H600" s="85"/>
      <c r="I600" s="85"/>
      <c r="J600" s="85"/>
      <c r="K600" s="86"/>
      <c r="L600" s="86"/>
    </row>
    <row r="601">
      <c r="H601" s="85"/>
      <c r="I601" s="85"/>
      <c r="J601" s="85"/>
      <c r="K601" s="86"/>
      <c r="L601" s="86"/>
    </row>
    <row r="602">
      <c r="H602" s="85"/>
      <c r="I602" s="85"/>
      <c r="J602" s="85"/>
      <c r="K602" s="86"/>
      <c r="L602" s="86"/>
    </row>
    <row r="603">
      <c r="H603" s="85"/>
      <c r="I603" s="85"/>
      <c r="J603" s="85"/>
      <c r="K603" s="86"/>
      <c r="L603" s="86"/>
    </row>
    <row r="604">
      <c r="H604" s="85"/>
      <c r="I604" s="85"/>
      <c r="J604" s="85"/>
      <c r="K604" s="86"/>
      <c r="L604" s="86"/>
    </row>
    <row r="605">
      <c r="H605" s="85"/>
      <c r="I605" s="85"/>
      <c r="J605" s="85"/>
      <c r="K605" s="86"/>
      <c r="L605" s="86"/>
    </row>
    <row r="606">
      <c r="H606" s="85"/>
      <c r="I606" s="85"/>
      <c r="J606" s="85"/>
      <c r="K606" s="86"/>
      <c r="L606" s="86"/>
    </row>
    <row r="607">
      <c r="H607" s="85"/>
      <c r="I607" s="85"/>
      <c r="J607" s="85"/>
      <c r="K607" s="86"/>
      <c r="L607" s="86"/>
    </row>
    <row r="608">
      <c r="H608" s="85"/>
      <c r="I608" s="85"/>
      <c r="J608" s="85"/>
      <c r="K608" s="86"/>
      <c r="L608" s="86"/>
    </row>
    <row r="609">
      <c r="H609" s="85"/>
      <c r="I609" s="85"/>
      <c r="J609" s="85"/>
      <c r="K609" s="86"/>
      <c r="L609" s="86"/>
    </row>
    <row r="610">
      <c r="H610" s="85"/>
      <c r="I610" s="85"/>
      <c r="J610" s="85"/>
      <c r="K610" s="86"/>
      <c r="L610" s="86"/>
    </row>
    <row r="611">
      <c r="H611" s="85"/>
      <c r="I611" s="85"/>
      <c r="J611" s="85"/>
      <c r="K611" s="86"/>
      <c r="L611" s="86"/>
    </row>
    <row r="612">
      <c r="H612" s="85"/>
      <c r="I612" s="85"/>
      <c r="J612" s="85"/>
      <c r="K612" s="86"/>
      <c r="L612" s="86"/>
    </row>
    <row r="613">
      <c r="H613" s="85"/>
      <c r="I613" s="85"/>
      <c r="J613" s="85"/>
      <c r="K613" s="86"/>
      <c r="L613" s="86"/>
    </row>
    <row r="614">
      <c r="H614" s="85"/>
      <c r="I614" s="85"/>
      <c r="J614" s="85"/>
      <c r="K614" s="86"/>
      <c r="L614" s="86"/>
    </row>
    <row r="615">
      <c r="H615" s="85"/>
      <c r="I615" s="85"/>
      <c r="J615" s="85"/>
      <c r="K615" s="86"/>
      <c r="L615" s="86"/>
    </row>
    <row r="616">
      <c r="H616" s="85"/>
      <c r="I616" s="85"/>
      <c r="J616" s="85"/>
      <c r="K616" s="86"/>
      <c r="L616" s="86"/>
    </row>
    <row r="617">
      <c r="H617" s="85"/>
      <c r="I617" s="85"/>
      <c r="J617" s="85"/>
      <c r="K617" s="86"/>
      <c r="L617" s="86"/>
    </row>
    <row r="618">
      <c r="H618" s="85"/>
      <c r="I618" s="85"/>
      <c r="J618" s="85"/>
      <c r="K618" s="86"/>
      <c r="L618" s="86"/>
    </row>
    <row r="619">
      <c r="H619" s="85"/>
      <c r="I619" s="85"/>
      <c r="J619" s="85"/>
      <c r="K619" s="86"/>
      <c r="L619" s="86"/>
    </row>
    <row r="620">
      <c r="H620" s="85"/>
      <c r="I620" s="85"/>
      <c r="J620" s="85"/>
      <c r="K620" s="86"/>
      <c r="L620" s="86"/>
    </row>
    <row r="621">
      <c r="H621" s="85"/>
      <c r="I621" s="85"/>
      <c r="J621" s="85"/>
      <c r="K621" s="86"/>
      <c r="L621" s="86"/>
    </row>
    <row r="622">
      <c r="H622" s="85"/>
      <c r="I622" s="85"/>
      <c r="J622" s="85"/>
      <c r="K622" s="86"/>
      <c r="L622" s="86"/>
    </row>
    <row r="623">
      <c r="H623" s="85"/>
      <c r="I623" s="85"/>
      <c r="J623" s="85"/>
      <c r="K623" s="86"/>
      <c r="L623" s="86"/>
    </row>
    <row r="624">
      <c r="H624" s="85"/>
      <c r="I624" s="85"/>
      <c r="J624" s="85"/>
      <c r="K624" s="86"/>
      <c r="L624" s="86"/>
    </row>
    <row r="625">
      <c r="H625" s="85"/>
      <c r="I625" s="85"/>
      <c r="J625" s="85"/>
      <c r="K625" s="86"/>
      <c r="L625" s="86"/>
    </row>
    <row r="626">
      <c r="H626" s="85"/>
      <c r="I626" s="85"/>
      <c r="J626" s="85"/>
      <c r="K626" s="86"/>
      <c r="L626" s="86"/>
    </row>
    <row r="627">
      <c r="H627" s="85"/>
      <c r="I627" s="85"/>
      <c r="J627" s="85"/>
      <c r="K627" s="86"/>
      <c r="L627" s="86"/>
    </row>
    <row r="628">
      <c r="H628" s="85"/>
      <c r="I628" s="85"/>
      <c r="J628" s="85"/>
      <c r="K628" s="86"/>
      <c r="L628" s="86"/>
    </row>
    <row r="629">
      <c r="H629" s="85"/>
      <c r="I629" s="85"/>
      <c r="J629" s="85"/>
      <c r="K629" s="86"/>
      <c r="L629" s="86"/>
    </row>
    <row r="630">
      <c r="H630" s="85"/>
      <c r="I630" s="85"/>
      <c r="J630" s="85"/>
      <c r="K630" s="86"/>
      <c r="L630" s="86"/>
    </row>
    <row r="631">
      <c r="H631" s="85"/>
      <c r="I631" s="85"/>
      <c r="J631" s="85"/>
      <c r="K631" s="86"/>
      <c r="L631" s="86"/>
    </row>
    <row r="632">
      <c r="H632" s="85"/>
      <c r="I632" s="85"/>
      <c r="J632" s="85"/>
      <c r="K632" s="86"/>
      <c r="L632" s="86"/>
    </row>
    <row r="633">
      <c r="H633" s="85"/>
      <c r="I633" s="85"/>
      <c r="J633" s="85"/>
      <c r="K633" s="86"/>
      <c r="L633" s="86"/>
    </row>
    <row r="634">
      <c r="H634" s="85"/>
      <c r="I634" s="85"/>
      <c r="J634" s="85"/>
      <c r="K634" s="86"/>
      <c r="L634" s="86"/>
    </row>
    <row r="635">
      <c r="H635" s="85"/>
      <c r="I635" s="85"/>
      <c r="J635" s="85"/>
      <c r="K635" s="86"/>
      <c r="L635" s="86"/>
    </row>
    <row r="636">
      <c r="H636" s="85"/>
      <c r="I636" s="85"/>
      <c r="J636" s="85"/>
      <c r="K636" s="86"/>
      <c r="L636" s="86"/>
    </row>
    <row r="637">
      <c r="H637" s="85"/>
      <c r="I637" s="85"/>
      <c r="J637" s="85"/>
      <c r="K637" s="86"/>
      <c r="L637" s="86"/>
    </row>
    <row r="638">
      <c r="H638" s="85"/>
      <c r="I638" s="85"/>
      <c r="J638" s="85"/>
      <c r="K638" s="86"/>
      <c r="L638" s="86"/>
    </row>
    <row r="639">
      <c r="H639" s="85"/>
      <c r="I639" s="85"/>
      <c r="J639" s="85"/>
      <c r="K639" s="86"/>
      <c r="L639" s="86"/>
    </row>
    <row r="640">
      <c r="H640" s="85"/>
      <c r="I640" s="85"/>
      <c r="J640" s="85"/>
      <c r="K640" s="86"/>
      <c r="L640" s="86"/>
    </row>
    <row r="641">
      <c r="H641" s="85"/>
      <c r="I641" s="85"/>
      <c r="J641" s="85"/>
      <c r="K641" s="86"/>
      <c r="L641" s="86"/>
    </row>
    <row r="642">
      <c r="H642" s="85"/>
      <c r="I642" s="85"/>
      <c r="J642" s="85"/>
      <c r="K642" s="86"/>
      <c r="L642" s="86"/>
    </row>
    <row r="643">
      <c r="H643" s="85"/>
      <c r="I643" s="85"/>
      <c r="J643" s="85"/>
      <c r="K643" s="86"/>
      <c r="L643" s="86"/>
    </row>
    <row r="644">
      <c r="H644" s="85"/>
      <c r="I644" s="85"/>
      <c r="J644" s="85"/>
      <c r="K644" s="86"/>
      <c r="L644" s="86"/>
    </row>
    <row r="645">
      <c r="H645" s="85"/>
      <c r="I645" s="85"/>
      <c r="J645" s="85"/>
      <c r="K645" s="86"/>
      <c r="L645" s="86"/>
    </row>
    <row r="646">
      <c r="H646" s="85"/>
      <c r="I646" s="85"/>
      <c r="J646" s="85"/>
      <c r="K646" s="86"/>
      <c r="L646" s="86"/>
    </row>
    <row r="647">
      <c r="H647" s="85"/>
      <c r="I647" s="85"/>
      <c r="J647" s="85"/>
      <c r="K647" s="86"/>
      <c r="L647" s="86"/>
    </row>
    <row r="648">
      <c r="H648" s="85"/>
      <c r="I648" s="85"/>
      <c r="J648" s="85"/>
      <c r="K648" s="86"/>
      <c r="L648" s="86"/>
    </row>
    <row r="649">
      <c r="H649" s="85"/>
      <c r="I649" s="85"/>
      <c r="J649" s="85"/>
      <c r="K649" s="86"/>
      <c r="L649" s="86"/>
    </row>
    <row r="650">
      <c r="H650" s="85"/>
      <c r="I650" s="85"/>
      <c r="J650" s="85"/>
      <c r="K650" s="86"/>
      <c r="L650" s="86"/>
    </row>
    <row r="651">
      <c r="H651" s="85"/>
      <c r="I651" s="85"/>
      <c r="J651" s="85"/>
      <c r="K651" s="86"/>
      <c r="L651" s="86"/>
    </row>
    <row r="652">
      <c r="H652" s="85"/>
      <c r="I652" s="85"/>
      <c r="J652" s="85"/>
      <c r="K652" s="86"/>
      <c r="L652" s="86"/>
    </row>
    <row r="653">
      <c r="H653" s="85"/>
      <c r="I653" s="85"/>
      <c r="J653" s="85"/>
      <c r="K653" s="86"/>
      <c r="L653" s="86"/>
    </row>
    <row r="654">
      <c r="H654" s="85"/>
      <c r="I654" s="85"/>
      <c r="J654" s="85"/>
      <c r="K654" s="86"/>
      <c r="L654" s="86"/>
    </row>
    <row r="655">
      <c r="H655" s="85"/>
      <c r="I655" s="85"/>
      <c r="J655" s="85"/>
      <c r="K655" s="86"/>
      <c r="L655" s="86"/>
    </row>
    <row r="656">
      <c r="H656" s="85"/>
      <c r="I656" s="85"/>
      <c r="J656" s="85"/>
      <c r="K656" s="86"/>
      <c r="L656" s="86"/>
    </row>
    <row r="657">
      <c r="H657" s="85"/>
      <c r="I657" s="85"/>
      <c r="J657" s="85"/>
      <c r="K657" s="86"/>
      <c r="L657" s="86"/>
    </row>
    <row r="658">
      <c r="H658" s="85"/>
      <c r="I658" s="85"/>
      <c r="J658" s="85"/>
      <c r="K658" s="86"/>
      <c r="L658" s="86"/>
    </row>
    <row r="659">
      <c r="H659" s="85"/>
      <c r="I659" s="85"/>
      <c r="J659" s="85"/>
      <c r="K659" s="86"/>
      <c r="L659" s="86"/>
    </row>
    <row r="660">
      <c r="H660" s="85"/>
      <c r="I660" s="85"/>
      <c r="J660" s="85"/>
      <c r="K660" s="86"/>
      <c r="L660" s="86"/>
    </row>
    <row r="661">
      <c r="H661" s="85"/>
      <c r="I661" s="85"/>
      <c r="J661" s="85"/>
      <c r="K661" s="86"/>
      <c r="L661" s="86"/>
    </row>
    <row r="662">
      <c r="H662" s="85"/>
      <c r="I662" s="85"/>
      <c r="J662" s="85"/>
      <c r="K662" s="86"/>
      <c r="L662" s="86"/>
    </row>
    <row r="663">
      <c r="H663" s="85"/>
      <c r="I663" s="85"/>
      <c r="J663" s="85"/>
      <c r="K663" s="86"/>
      <c r="L663" s="86"/>
    </row>
    <row r="664">
      <c r="H664" s="85"/>
      <c r="I664" s="85"/>
      <c r="J664" s="85"/>
      <c r="K664" s="86"/>
      <c r="L664" s="86"/>
    </row>
    <row r="665">
      <c r="H665" s="85"/>
      <c r="I665" s="85"/>
      <c r="J665" s="85"/>
      <c r="K665" s="86"/>
      <c r="L665" s="86"/>
    </row>
    <row r="666">
      <c r="H666" s="85"/>
      <c r="I666" s="85"/>
      <c r="J666" s="85"/>
      <c r="K666" s="86"/>
      <c r="L666" s="86"/>
    </row>
    <row r="667">
      <c r="H667" s="85"/>
      <c r="I667" s="85"/>
      <c r="J667" s="85"/>
      <c r="K667" s="86"/>
      <c r="L667" s="86"/>
    </row>
    <row r="668">
      <c r="H668" s="85"/>
      <c r="I668" s="85"/>
      <c r="J668" s="85"/>
      <c r="K668" s="86"/>
      <c r="L668" s="86"/>
    </row>
    <row r="669">
      <c r="H669" s="85"/>
      <c r="I669" s="85"/>
      <c r="J669" s="85"/>
      <c r="K669" s="86"/>
      <c r="L669" s="86"/>
    </row>
    <row r="670">
      <c r="H670" s="85"/>
      <c r="I670" s="85"/>
      <c r="J670" s="85"/>
      <c r="K670" s="86"/>
      <c r="L670" s="86"/>
    </row>
    <row r="671">
      <c r="H671" s="85"/>
      <c r="I671" s="85"/>
      <c r="J671" s="85"/>
      <c r="K671" s="86"/>
      <c r="L671" s="86"/>
    </row>
    <row r="672">
      <c r="H672" s="85"/>
      <c r="I672" s="85"/>
      <c r="J672" s="85"/>
      <c r="K672" s="86"/>
      <c r="L672" s="86"/>
    </row>
    <row r="673">
      <c r="H673" s="85"/>
      <c r="I673" s="85"/>
      <c r="J673" s="85"/>
      <c r="K673" s="86"/>
      <c r="L673" s="86"/>
    </row>
    <row r="674">
      <c r="H674" s="85"/>
      <c r="I674" s="85"/>
      <c r="J674" s="85"/>
      <c r="K674" s="86"/>
      <c r="L674" s="86"/>
    </row>
    <row r="675">
      <c r="H675" s="85"/>
      <c r="I675" s="85"/>
      <c r="J675" s="85"/>
      <c r="K675" s="86"/>
      <c r="L675" s="86"/>
    </row>
    <row r="676">
      <c r="H676" s="85"/>
      <c r="I676" s="85"/>
      <c r="J676" s="85"/>
      <c r="K676" s="86"/>
      <c r="L676" s="86"/>
    </row>
    <row r="677">
      <c r="H677" s="85"/>
      <c r="I677" s="85"/>
      <c r="J677" s="85"/>
      <c r="K677" s="86"/>
      <c r="L677" s="86"/>
    </row>
    <row r="678">
      <c r="H678" s="85"/>
      <c r="I678" s="85"/>
      <c r="J678" s="85"/>
      <c r="K678" s="86"/>
      <c r="L678" s="86"/>
    </row>
    <row r="679">
      <c r="H679" s="85"/>
      <c r="I679" s="85"/>
      <c r="J679" s="85"/>
      <c r="K679" s="86"/>
      <c r="L679" s="86"/>
    </row>
    <row r="680">
      <c r="H680" s="85"/>
      <c r="I680" s="85"/>
      <c r="J680" s="85"/>
      <c r="K680" s="86"/>
      <c r="L680" s="86"/>
    </row>
    <row r="681">
      <c r="H681" s="85"/>
      <c r="I681" s="85"/>
      <c r="J681" s="85"/>
      <c r="K681" s="86"/>
      <c r="L681" s="86"/>
    </row>
    <row r="682">
      <c r="H682" s="85"/>
      <c r="I682" s="85"/>
      <c r="J682" s="85"/>
      <c r="K682" s="86"/>
      <c r="L682" s="86"/>
    </row>
    <row r="683">
      <c r="H683" s="85"/>
      <c r="I683" s="85"/>
      <c r="J683" s="85"/>
      <c r="K683" s="86"/>
      <c r="L683" s="86"/>
    </row>
    <row r="684">
      <c r="H684" s="85"/>
      <c r="I684" s="85"/>
      <c r="J684" s="85"/>
      <c r="K684" s="86"/>
      <c r="L684" s="86"/>
    </row>
    <row r="685">
      <c r="H685" s="85"/>
      <c r="I685" s="85"/>
      <c r="J685" s="85"/>
      <c r="K685" s="86"/>
      <c r="L685" s="86"/>
    </row>
    <row r="686">
      <c r="H686" s="85"/>
      <c r="I686" s="85"/>
      <c r="J686" s="85"/>
      <c r="K686" s="86"/>
      <c r="L686" s="86"/>
    </row>
    <row r="687">
      <c r="H687" s="85"/>
      <c r="I687" s="85"/>
      <c r="J687" s="85"/>
      <c r="K687" s="86"/>
      <c r="L687" s="86"/>
    </row>
    <row r="688">
      <c r="H688" s="85"/>
      <c r="I688" s="85"/>
      <c r="J688" s="85"/>
      <c r="K688" s="86"/>
      <c r="L688" s="86"/>
    </row>
    <row r="689">
      <c r="H689" s="85"/>
      <c r="I689" s="85"/>
      <c r="J689" s="85"/>
      <c r="K689" s="86"/>
      <c r="L689" s="86"/>
    </row>
    <row r="690">
      <c r="H690" s="85"/>
      <c r="I690" s="85"/>
      <c r="J690" s="85"/>
      <c r="K690" s="86"/>
      <c r="L690" s="86"/>
    </row>
    <row r="691">
      <c r="H691" s="85"/>
      <c r="I691" s="85"/>
      <c r="J691" s="85"/>
      <c r="K691" s="86"/>
      <c r="L691" s="86"/>
    </row>
    <row r="692">
      <c r="H692" s="85"/>
      <c r="I692" s="85"/>
      <c r="J692" s="85"/>
      <c r="K692" s="86"/>
      <c r="L692" s="86"/>
    </row>
    <row r="693">
      <c r="H693" s="85"/>
      <c r="I693" s="85"/>
      <c r="J693" s="85"/>
      <c r="K693" s="86"/>
      <c r="L693" s="86"/>
    </row>
    <row r="694">
      <c r="H694" s="85"/>
      <c r="I694" s="85"/>
      <c r="J694" s="85"/>
      <c r="K694" s="86"/>
      <c r="L694" s="86"/>
    </row>
    <row r="695">
      <c r="H695" s="85"/>
      <c r="I695" s="85"/>
      <c r="J695" s="85"/>
      <c r="K695" s="86"/>
      <c r="L695" s="86"/>
    </row>
    <row r="696">
      <c r="H696" s="85"/>
      <c r="I696" s="85"/>
      <c r="J696" s="85"/>
      <c r="K696" s="86"/>
      <c r="L696" s="86"/>
    </row>
    <row r="697">
      <c r="H697" s="85"/>
      <c r="I697" s="85"/>
      <c r="J697" s="85"/>
      <c r="K697" s="86"/>
      <c r="L697" s="86"/>
    </row>
    <row r="698">
      <c r="H698" s="85"/>
      <c r="I698" s="85"/>
      <c r="J698" s="85"/>
      <c r="K698" s="86"/>
      <c r="L698" s="86"/>
    </row>
    <row r="699">
      <c r="H699" s="85"/>
      <c r="I699" s="85"/>
      <c r="J699" s="85"/>
      <c r="K699" s="86"/>
      <c r="L699" s="86"/>
    </row>
    <row r="700">
      <c r="H700" s="85"/>
      <c r="I700" s="85"/>
      <c r="J700" s="85"/>
      <c r="K700" s="86"/>
      <c r="L700" s="86"/>
    </row>
    <row r="701">
      <c r="H701" s="85"/>
      <c r="I701" s="85"/>
      <c r="J701" s="85"/>
      <c r="K701" s="86"/>
      <c r="L701" s="86"/>
    </row>
    <row r="702">
      <c r="H702" s="85"/>
      <c r="I702" s="85"/>
      <c r="J702" s="85"/>
      <c r="K702" s="86"/>
      <c r="L702" s="86"/>
    </row>
    <row r="703">
      <c r="H703" s="85"/>
      <c r="I703" s="85"/>
      <c r="J703" s="85"/>
      <c r="K703" s="86"/>
      <c r="L703" s="86"/>
    </row>
    <row r="704">
      <c r="H704" s="85"/>
      <c r="I704" s="85"/>
      <c r="J704" s="85"/>
      <c r="K704" s="86"/>
      <c r="L704" s="86"/>
    </row>
    <row r="705">
      <c r="H705" s="85"/>
      <c r="I705" s="85"/>
      <c r="J705" s="85"/>
      <c r="K705" s="86"/>
      <c r="L705" s="86"/>
    </row>
    <row r="706">
      <c r="H706" s="85"/>
      <c r="I706" s="85"/>
      <c r="J706" s="85"/>
      <c r="K706" s="86"/>
      <c r="L706" s="86"/>
    </row>
    <row r="707">
      <c r="H707" s="85"/>
      <c r="I707" s="85"/>
      <c r="J707" s="85"/>
      <c r="K707" s="86"/>
      <c r="L707" s="86"/>
    </row>
    <row r="708">
      <c r="H708" s="85"/>
      <c r="I708" s="85"/>
      <c r="J708" s="85"/>
      <c r="K708" s="86"/>
      <c r="L708" s="86"/>
    </row>
    <row r="709">
      <c r="H709" s="85"/>
      <c r="I709" s="85"/>
      <c r="J709" s="85"/>
      <c r="K709" s="86"/>
      <c r="L709" s="86"/>
    </row>
    <row r="710">
      <c r="H710" s="85"/>
      <c r="I710" s="85"/>
      <c r="J710" s="85"/>
      <c r="K710" s="86"/>
      <c r="L710" s="86"/>
    </row>
    <row r="711">
      <c r="H711" s="85"/>
      <c r="I711" s="85"/>
      <c r="J711" s="85"/>
      <c r="K711" s="86"/>
      <c r="L711" s="86"/>
    </row>
    <row r="712">
      <c r="H712" s="85"/>
      <c r="I712" s="85"/>
      <c r="J712" s="85"/>
      <c r="K712" s="86"/>
      <c r="L712" s="86"/>
    </row>
    <row r="713">
      <c r="H713" s="85"/>
      <c r="I713" s="85"/>
      <c r="J713" s="85"/>
      <c r="K713" s="86"/>
      <c r="L713" s="86"/>
    </row>
    <row r="714">
      <c r="H714" s="85"/>
      <c r="I714" s="85"/>
      <c r="J714" s="85"/>
      <c r="K714" s="86"/>
      <c r="L714" s="86"/>
    </row>
    <row r="715">
      <c r="H715" s="85"/>
      <c r="I715" s="85"/>
      <c r="J715" s="85"/>
      <c r="K715" s="86"/>
      <c r="L715" s="86"/>
    </row>
    <row r="716">
      <c r="H716" s="85"/>
      <c r="I716" s="85"/>
      <c r="J716" s="85"/>
      <c r="K716" s="86"/>
      <c r="L716" s="86"/>
    </row>
    <row r="717">
      <c r="H717" s="85"/>
      <c r="I717" s="85"/>
      <c r="J717" s="85"/>
      <c r="K717" s="86"/>
      <c r="L717" s="86"/>
    </row>
    <row r="718">
      <c r="H718" s="85"/>
      <c r="I718" s="85"/>
      <c r="J718" s="85"/>
      <c r="K718" s="86"/>
      <c r="L718" s="86"/>
    </row>
    <row r="719">
      <c r="H719" s="85"/>
      <c r="I719" s="85"/>
      <c r="J719" s="85"/>
      <c r="K719" s="86"/>
      <c r="L719" s="86"/>
    </row>
    <row r="720">
      <c r="H720" s="85"/>
      <c r="I720" s="85"/>
      <c r="J720" s="85"/>
      <c r="K720" s="86"/>
      <c r="L720" s="86"/>
    </row>
    <row r="721">
      <c r="H721" s="85"/>
      <c r="I721" s="85"/>
      <c r="J721" s="85"/>
      <c r="K721" s="86"/>
      <c r="L721" s="86"/>
    </row>
    <row r="722">
      <c r="H722" s="85"/>
      <c r="I722" s="85"/>
      <c r="J722" s="85"/>
      <c r="K722" s="86"/>
      <c r="L722" s="86"/>
    </row>
    <row r="723">
      <c r="H723" s="85"/>
      <c r="I723" s="85"/>
      <c r="J723" s="85"/>
      <c r="K723" s="86"/>
      <c r="L723" s="86"/>
    </row>
    <row r="724">
      <c r="H724" s="85"/>
      <c r="I724" s="85"/>
      <c r="J724" s="85"/>
      <c r="K724" s="86"/>
      <c r="L724" s="86"/>
    </row>
    <row r="725">
      <c r="H725" s="85"/>
      <c r="I725" s="85"/>
      <c r="J725" s="85"/>
      <c r="K725" s="86"/>
      <c r="L725" s="86"/>
    </row>
    <row r="726">
      <c r="H726" s="85"/>
      <c r="I726" s="85"/>
      <c r="J726" s="85"/>
      <c r="K726" s="86"/>
      <c r="L726" s="86"/>
    </row>
    <row r="727">
      <c r="H727" s="85"/>
      <c r="I727" s="85"/>
      <c r="J727" s="85"/>
      <c r="K727" s="86"/>
      <c r="L727" s="86"/>
    </row>
    <row r="728">
      <c r="H728" s="85"/>
      <c r="I728" s="85"/>
      <c r="J728" s="85"/>
      <c r="K728" s="86"/>
      <c r="L728" s="86"/>
    </row>
    <row r="729">
      <c r="H729" s="85"/>
      <c r="I729" s="85"/>
      <c r="J729" s="85"/>
      <c r="K729" s="86"/>
      <c r="L729" s="86"/>
    </row>
    <row r="730">
      <c r="H730" s="85"/>
      <c r="I730" s="85"/>
      <c r="J730" s="85"/>
      <c r="K730" s="86"/>
      <c r="L730" s="86"/>
    </row>
    <row r="731">
      <c r="H731" s="85"/>
      <c r="I731" s="85"/>
      <c r="J731" s="85"/>
      <c r="K731" s="86"/>
      <c r="L731" s="86"/>
    </row>
    <row r="732">
      <c r="H732" s="85"/>
      <c r="I732" s="85"/>
      <c r="J732" s="85"/>
      <c r="K732" s="86"/>
      <c r="L732" s="86"/>
    </row>
    <row r="733">
      <c r="H733" s="85"/>
      <c r="I733" s="85"/>
      <c r="J733" s="85"/>
      <c r="K733" s="86"/>
      <c r="L733" s="86"/>
    </row>
    <row r="734">
      <c r="H734" s="85"/>
      <c r="I734" s="85"/>
      <c r="J734" s="85"/>
      <c r="K734" s="86"/>
      <c r="L734" s="86"/>
    </row>
    <row r="735">
      <c r="H735" s="85"/>
      <c r="I735" s="85"/>
      <c r="J735" s="85"/>
      <c r="K735" s="86"/>
      <c r="L735" s="86"/>
    </row>
    <row r="736">
      <c r="H736" s="85"/>
      <c r="I736" s="85"/>
      <c r="J736" s="85"/>
      <c r="K736" s="86"/>
      <c r="L736" s="86"/>
    </row>
    <row r="737">
      <c r="H737" s="85"/>
      <c r="I737" s="85"/>
      <c r="J737" s="85"/>
      <c r="K737" s="86"/>
      <c r="L737" s="86"/>
    </row>
    <row r="738">
      <c r="H738" s="85"/>
      <c r="I738" s="85"/>
      <c r="J738" s="85"/>
      <c r="K738" s="86"/>
      <c r="L738" s="86"/>
    </row>
    <row r="739">
      <c r="H739" s="85"/>
      <c r="I739" s="85"/>
      <c r="J739" s="85"/>
      <c r="K739" s="86"/>
      <c r="L739" s="86"/>
    </row>
    <row r="740">
      <c r="H740" s="85"/>
      <c r="I740" s="85"/>
      <c r="J740" s="85"/>
      <c r="K740" s="86"/>
      <c r="L740" s="86"/>
    </row>
    <row r="741">
      <c r="H741" s="85"/>
      <c r="I741" s="85"/>
      <c r="J741" s="85"/>
      <c r="K741" s="86"/>
      <c r="L741" s="86"/>
    </row>
    <row r="742">
      <c r="H742" s="85"/>
      <c r="I742" s="85"/>
      <c r="J742" s="85"/>
      <c r="K742" s="86"/>
      <c r="L742" s="86"/>
    </row>
    <row r="743">
      <c r="H743" s="85"/>
      <c r="I743" s="85"/>
      <c r="J743" s="85"/>
      <c r="K743" s="86"/>
      <c r="L743" s="86"/>
    </row>
    <row r="744">
      <c r="H744" s="85"/>
      <c r="I744" s="85"/>
      <c r="J744" s="85"/>
      <c r="K744" s="86"/>
      <c r="L744" s="86"/>
    </row>
    <row r="745">
      <c r="H745" s="85"/>
      <c r="I745" s="85"/>
      <c r="J745" s="85"/>
      <c r="K745" s="86"/>
      <c r="L745" s="86"/>
    </row>
    <row r="746">
      <c r="H746" s="85"/>
      <c r="I746" s="85"/>
      <c r="J746" s="85"/>
      <c r="K746" s="86"/>
      <c r="L746" s="86"/>
    </row>
    <row r="747">
      <c r="H747" s="85"/>
      <c r="I747" s="85"/>
      <c r="J747" s="85"/>
      <c r="K747" s="86"/>
      <c r="L747" s="86"/>
    </row>
    <row r="748">
      <c r="H748" s="85"/>
      <c r="I748" s="85"/>
      <c r="J748" s="85"/>
      <c r="K748" s="86"/>
      <c r="L748" s="86"/>
    </row>
    <row r="749">
      <c r="H749" s="85"/>
      <c r="I749" s="85"/>
      <c r="J749" s="85"/>
      <c r="K749" s="86"/>
      <c r="L749" s="86"/>
    </row>
    <row r="750">
      <c r="H750" s="85"/>
      <c r="I750" s="85"/>
      <c r="J750" s="85"/>
      <c r="K750" s="86"/>
      <c r="L750" s="86"/>
    </row>
    <row r="751">
      <c r="H751" s="85"/>
      <c r="I751" s="85"/>
      <c r="J751" s="85"/>
      <c r="K751" s="86"/>
      <c r="L751" s="86"/>
    </row>
    <row r="752">
      <c r="H752" s="85"/>
      <c r="I752" s="85"/>
      <c r="J752" s="85"/>
      <c r="K752" s="86"/>
      <c r="L752" s="86"/>
    </row>
    <row r="753">
      <c r="H753" s="85"/>
      <c r="I753" s="85"/>
      <c r="J753" s="85"/>
      <c r="K753" s="86"/>
      <c r="L753" s="86"/>
    </row>
    <row r="754">
      <c r="H754" s="85"/>
      <c r="I754" s="85"/>
      <c r="J754" s="85"/>
      <c r="K754" s="86"/>
      <c r="L754" s="86"/>
    </row>
    <row r="755">
      <c r="H755" s="85"/>
      <c r="I755" s="85"/>
      <c r="J755" s="85"/>
      <c r="K755" s="86"/>
      <c r="L755" s="86"/>
    </row>
    <row r="756">
      <c r="H756" s="85"/>
      <c r="I756" s="85"/>
      <c r="J756" s="85"/>
      <c r="K756" s="86"/>
      <c r="L756" s="86"/>
    </row>
    <row r="757">
      <c r="H757" s="85"/>
      <c r="I757" s="85"/>
      <c r="J757" s="85"/>
      <c r="K757" s="86"/>
      <c r="L757" s="86"/>
    </row>
    <row r="758">
      <c r="H758" s="85"/>
      <c r="I758" s="85"/>
      <c r="J758" s="85"/>
      <c r="K758" s="86"/>
      <c r="L758" s="86"/>
    </row>
    <row r="759">
      <c r="H759" s="85"/>
      <c r="I759" s="85"/>
      <c r="J759" s="85"/>
      <c r="K759" s="86"/>
      <c r="L759" s="86"/>
    </row>
    <row r="760">
      <c r="H760" s="85"/>
      <c r="I760" s="85"/>
      <c r="J760" s="85"/>
      <c r="K760" s="86"/>
      <c r="L760" s="86"/>
    </row>
    <row r="761">
      <c r="H761" s="85"/>
      <c r="I761" s="85"/>
      <c r="J761" s="85"/>
      <c r="K761" s="86"/>
      <c r="L761" s="86"/>
    </row>
    <row r="762">
      <c r="H762" s="85"/>
      <c r="I762" s="85"/>
      <c r="J762" s="85"/>
      <c r="K762" s="86"/>
      <c r="L762" s="86"/>
    </row>
    <row r="763">
      <c r="H763" s="85"/>
      <c r="I763" s="85"/>
      <c r="J763" s="85"/>
      <c r="K763" s="86"/>
      <c r="L763" s="86"/>
    </row>
    <row r="764">
      <c r="H764" s="85"/>
      <c r="I764" s="85"/>
      <c r="J764" s="85"/>
      <c r="K764" s="86"/>
      <c r="L764" s="86"/>
    </row>
    <row r="765">
      <c r="H765" s="85"/>
      <c r="I765" s="85"/>
      <c r="J765" s="85"/>
      <c r="K765" s="86"/>
      <c r="L765" s="86"/>
    </row>
    <row r="766">
      <c r="H766" s="85"/>
      <c r="I766" s="85"/>
      <c r="J766" s="85"/>
      <c r="K766" s="86"/>
      <c r="L766" s="86"/>
    </row>
    <row r="767">
      <c r="H767" s="85"/>
      <c r="I767" s="85"/>
      <c r="J767" s="85"/>
      <c r="K767" s="86"/>
      <c r="L767" s="86"/>
    </row>
    <row r="768">
      <c r="H768" s="85"/>
      <c r="I768" s="85"/>
      <c r="J768" s="85"/>
      <c r="K768" s="86"/>
      <c r="L768" s="86"/>
    </row>
    <row r="769">
      <c r="H769" s="85"/>
      <c r="I769" s="85"/>
      <c r="J769" s="85"/>
      <c r="K769" s="86"/>
      <c r="L769" s="86"/>
    </row>
    <row r="770">
      <c r="H770" s="85"/>
      <c r="I770" s="85"/>
      <c r="J770" s="85"/>
      <c r="K770" s="86"/>
      <c r="L770" s="86"/>
    </row>
    <row r="771">
      <c r="H771" s="85"/>
      <c r="I771" s="85"/>
      <c r="J771" s="85"/>
      <c r="K771" s="86"/>
      <c r="L771" s="86"/>
    </row>
    <row r="772">
      <c r="H772" s="85"/>
      <c r="I772" s="85"/>
      <c r="J772" s="85"/>
      <c r="K772" s="86"/>
      <c r="L772" s="86"/>
    </row>
    <row r="773">
      <c r="H773" s="85"/>
      <c r="I773" s="85"/>
      <c r="J773" s="85"/>
      <c r="K773" s="86"/>
      <c r="L773" s="86"/>
    </row>
    <row r="774">
      <c r="H774" s="85"/>
      <c r="I774" s="85"/>
      <c r="J774" s="85"/>
      <c r="K774" s="86"/>
      <c r="L774" s="86"/>
    </row>
    <row r="775">
      <c r="H775" s="85"/>
      <c r="I775" s="85"/>
      <c r="J775" s="85"/>
      <c r="K775" s="86"/>
      <c r="L775" s="86"/>
    </row>
    <row r="776">
      <c r="H776" s="85"/>
      <c r="I776" s="85"/>
      <c r="J776" s="85"/>
      <c r="K776" s="86"/>
      <c r="L776" s="86"/>
    </row>
    <row r="777">
      <c r="H777" s="85"/>
      <c r="I777" s="85"/>
      <c r="J777" s="85"/>
      <c r="K777" s="86"/>
      <c r="L777" s="86"/>
    </row>
    <row r="778">
      <c r="H778" s="85"/>
      <c r="I778" s="85"/>
      <c r="J778" s="85"/>
      <c r="K778" s="86"/>
      <c r="L778" s="86"/>
    </row>
    <row r="779">
      <c r="H779" s="85"/>
      <c r="I779" s="85"/>
      <c r="J779" s="85"/>
      <c r="K779" s="86"/>
      <c r="L779" s="86"/>
    </row>
    <row r="780">
      <c r="H780" s="85"/>
      <c r="I780" s="85"/>
      <c r="J780" s="85"/>
      <c r="K780" s="86"/>
      <c r="L780" s="86"/>
    </row>
    <row r="781">
      <c r="H781" s="85"/>
      <c r="I781" s="85"/>
      <c r="J781" s="85"/>
      <c r="K781" s="86"/>
      <c r="L781" s="86"/>
    </row>
    <row r="782">
      <c r="H782" s="85"/>
      <c r="I782" s="85"/>
      <c r="J782" s="85"/>
      <c r="K782" s="86"/>
      <c r="L782" s="86"/>
    </row>
    <row r="783">
      <c r="H783" s="85"/>
      <c r="I783" s="85"/>
      <c r="J783" s="85"/>
      <c r="K783" s="86"/>
      <c r="L783" s="86"/>
    </row>
    <row r="784">
      <c r="H784" s="85"/>
      <c r="I784" s="85"/>
      <c r="J784" s="85"/>
      <c r="K784" s="86"/>
      <c r="L784" s="86"/>
    </row>
    <row r="785">
      <c r="H785" s="85"/>
      <c r="I785" s="85"/>
      <c r="J785" s="85"/>
      <c r="K785" s="86"/>
      <c r="L785" s="86"/>
    </row>
    <row r="786">
      <c r="H786" s="85"/>
      <c r="I786" s="85"/>
      <c r="J786" s="85"/>
      <c r="K786" s="86"/>
      <c r="L786" s="86"/>
    </row>
    <row r="787">
      <c r="H787" s="85"/>
      <c r="I787" s="85"/>
      <c r="J787" s="85"/>
      <c r="K787" s="86"/>
      <c r="L787" s="86"/>
    </row>
    <row r="788">
      <c r="H788" s="85"/>
      <c r="I788" s="85"/>
      <c r="J788" s="85"/>
      <c r="K788" s="86"/>
      <c r="L788" s="86"/>
    </row>
    <row r="789">
      <c r="H789" s="85"/>
      <c r="I789" s="85"/>
      <c r="J789" s="85"/>
      <c r="K789" s="86"/>
      <c r="L789" s="86"/>
    </row>
    <row r="790">
      <c r="H790" s="85"/>
      <c r="I790" s="85"/>
      <c r="J790" s="85"/>
      <c r="K790" s="86"/>
      <c r="L790" s="86"/>
    </row>
    <row r="791">
      <c r="H791" s="85"/>
      <c r="I791" s="85"/>
      <c r="J791" s="85"/>
      <c r="K791" s="86"/>
      <c r="L791" s="86"/>
    </row>
    <row r="792">
      <c r="H792" s="85"/>
      <c r="I792" s="85"/>
      <c r="J792" s="85"/>
      <c r="K792" s="86"/>
      <c r="L792" s="86"/>
    </row>
    <row r="793">
      <c r="H793" s="85"/>
      <c r="I793" s="85"/>
      <c r="J793" s="85"/>
      <c r="K793" s="86"/>
      <c r="L793" s="86"/>
    </row>
    <row r="794">
      <c r="H794" s="85"/>
      <c r="I794" s="85"/>
      <c r="J794" s="85"/>
      <c r="K794" s="86"/>
      <c r="L794" s="86"/>
    </row>
    <row r="795">
      <c r="H795" s="85"/>
      <c r="I795" s="85"/>
      <c r="J795" s="85"/>
      <c r="K795" s="86"/>
      <c r="L795" s="86"/>
    </row>
    <row r="796">
      <c r="H796" s="85"/>
      <c r="I796" s="85"/>
      <c r="J796" s="85"/>
      <c r="K796" s="86"/>
      <c r="L796" s="86"/>
    </row>
    <row r="797">
      <c r="H797" s="85"/>
      <c r="I797" s="85"/>
      <c r="J797" s="85"/>
      <c r="K797" s="86"/>
      <c r="L797" s="86"/>
    </row>
    <row r="798">
      <c r="H798" s="85"/>
      <c r="I798" s="85"/>
      <c r="J798" s="85"/>
      <c r="K798" s="86"/>
      <c r="L798" s="86"/>
    </row>
    <row r="799">
      <c r="H799" s="85"/>
      <c r="I799" s="85"/>
      <c r="J799" s="85"/>
      <c r="K799" s="86"/>
      <c r="L799" s="86"/>
    </row>
    <row r="800">
      <c r="H800" s="85"/>
      <c r="I800" s="85"/>
      <c r="J800" s="85"/>
      <c r="K800" s="86"/>
      <c r="L800" s="86"/>
    </row>
    <row r="801">
      <c r="H801" s="85"/>
      <c r="I801" s="85"/>
      <c r="J801" s="85"/>
      <c r="K801" s="86"/>
      <c r="L801" s="86"/>
    </row>
    <row r="802">
      <c r="H802" s="85"/>
      <c r="I802" s="85"/>
      <c r="J802" s="85"/>
      <c r="K802" s="86"/>
      <c r="L802" s="86"/>
    </row>
    <row r="803">
      <c r="H803" s="85"/>
      <c r="I803" s="85"/>
      <c r="J803" s="85"/>
      <c r="K803" s="86"/>
      <c r="L803" s="86"/>
    </row>
    <row r="804">
      <c r="H804" s="85"/>
      <c r="I804" s="85"/>
      <c r="J804" s="85"/>
      <c r="K804" s="86"/>
      <c r="L804" s="86"/>
    </row>
    <row r="805">
      <c r="H805" s="85"/>
      <c r="I805" s="85"/>
      <c r="J805" s="85"/>
      <c r="K805" s="86"/>
      <c r="L805" s="86"/>
    </row>
    <row r="806">
      <c r="H806" s="85"/>
      <c r="I806" s="85"/>
      <c r="J806" s="85"/>
      <c r="K806" s="86"/>
      <c r="L806" s="86"/>
    </row>
    <row r="807">
      <c r="H807" s="85"/>
      <c r="I807" s="85"/>
      <c r="J807" s="85"/>
      <c r="K807" s="86"/>
      <c r="L807" s="86"/>
    </row>
    <row r="808">
      <c r="H808" s="85"/>
      <c r="I808" s="85"/>
      <c r="J808" s="85"/>
      <c r="K808" s="86"/>
      <c r="L808" s="86"/>
    </row>
    <row r="809">
      <c r="H809" s="85"/>
      <c r="I809" s="85"/>
      <c r="J809" s="85"/>
      <c r="K809" s="86"/>
      <c r="L809" s="86"/>
    </row>
    <row r="810">
      <c r="H810" s="85"/>
      <c r="I810" s="85"/>
      <c r="J810" s="85"/>
      <c r="K810" s="86"/>
      <c r="L810" s="86"/>
    </row>
    <row r="811">
      <c r="H811" s="85"/>
      <c r="I811" s="85"/>
      <c r="J811" s="85"/>
      <c r="K811" s="86"/>
      <c r="L811" s="86"/>
    </row>
    <row r="812">
      <c r="H812" s="85"/>
      <c r="I812" s="85"/>
      <c r="J812" s="85"/>
      <c r="K812" s="86"/>
      <c r="L812" s="86"/>
    </row>
    <row r="813">
      <c r="H813" s="85"/>
      <c r="I813" s="85"/>
      <c r="J813" s="85"/>
      <c r="K813" s="86"/>
      <c r="L813" s="86"/>
    </row>
    <row r="814">
      <c r="H814" s="85"/>
      <c r="I814" s="85"/>
      <c r="J814" s="85"/>
      <c r="K814" s="86"/>
      <c r="L814" s="86"/>
    </row>
    <row r="815">
      <c r="H815" s="85"/>
      <c r="I815" s="85"/>
      <c r="J815" s="85"/>
      <c r="K815" s="86"/>
      <c r="L815" s="86"/>
    </row>
    <row r="816">
      <c r="H816" s="85"/>
      <c r="I816" s="85"/>
      <c r="J816" s="85"/>
      <c r="K816" s="86"/>
      <c r="L816" s="86"/>
    </row>
    <row r="817">
      <c r="H817" s="85"/>
      <c r="I817" s="85"/>
      <c r="J817" s="85"/>
      <c r="K817" s="86"/>
      <c r="L817" s="86"/>
    </row>
    <row r="818">
      <c r="H818" s="85"/>
      <c r="I818" s="85"/>
      <c r="J818" s="85"/>
      <c r="K818" s="86"/>
      <c r="L818" s="86"/>
    </row>
    <row r="819">
      <c r="H819" s="85"/>
      <c r="I819" s="85"/>
      <c r="J819" s="85"/>
      <c r="K819" s="86"/>
      <c r="L819" s="86"/>
    </row>
    <row r="820">
      <c r="H820" s="85"/>
      <c r="I820" s="85"/>
      <c r="J820" s="85"/>
      <c r="K820" s="86"/>
      <c r="L820" s="86"/>
    </row>
    <row r="821">
      <c r="H821" s="85"/>
      <c r="I821" s="85"/>
      <c r="J821" s="85"/>
      <c r="K821" s="86"/>
      <c r="L821" s="86"/>
    </row>
    <row r="822">
      <c r="H822" s="85"/>
      <c r="I822" s="85"/>
      <c r="J822" s="85"/>
      <c r="K822" s="86"/>
      <c r="L822" s="86"/>
    </row>
    <row r="823">
      <c r="H823" s="85"/>
      <c r="I823" s="85"/>
      <c r="J823" s="85"/>
      <c r="K823" s="86"/>
      <c r="L823" s="86"/>
    </row>
    <row r="824">
      <c r="H824" s="85"/>
      <c r="I824" s="85"/>
      <c r="J824" s="85"/>
      <c r="K824" s="86"/>
      <c r="L824" s="86"/>
    </row>
    <row r="825">
      <c r="H825" s="85"/>
      <c r="I825" s="85"/>
      <c r="J825" s="85"/>
      <c r="K825" s="86"/>
      <c r="L825" s="86"/>
    </row>
    <row r="826">
      <c r="H826" s="85"/>
      <c r="I826" s="85"/>
      <c r="J826" s="85"/>
      <c r="K826" s="86"/>
      <c r="L826" s="86"/>
    </row>
    <row r="827">
      <c r="H827" s="85"/>
      <c r="I827" s="85"/>
      <c r="J827" s="85"/>
      <c r="K827" s="86"/>
      <c r="L827" s="86"/>
    </row>
    <row r="828">
      <c r="H828" s="85"/>
      <c r="I828" s="85"/>
      <c r="J828" s="85"/>
      <c r="K828" s="86"/>
      <c r="L828" s="86"/>
    </row>
    <row r="829">
      <c r="H829" s="85"/>
      <c r="I829" s="85"/>
      <c r="J829" s="85"/>
      <c r="K829" s="86"/>
      <c r="L829" s="86"/>
    </row>
    <row r="830">
      <c r="H830" s="85"/>
      <c r="I830" s="85"/>
      <c r="J830" s="85"/>
      <c r="K830" s="86"/>
      <c r="L830" s="86"/>
    </row>
    <row r="831">
      <c r="H831" s="85"/>
      <c r="I831" s="85"/>
      <c r="J831" s="85"/>
      <c r="K831" s="86"/>
      <c r="L831" s="86"/>
    </row>
    <row r="832">
      <c r="H832" s="85"/>
      <c r="I832" s="85"/>
      <c r="J832" s="85"/>
      <c r="K832" s="86"/>
      <c r="L832" s="86"/>
    </row>
    <row r="833">
      <c r="H833" s="85"/>
      <c r="I833" s="85"/>
      <c r="J833" s="85"/>
      <c r="K833" s="86"/>
      <c r="L833" s="86"/>
    </row>
    <row r="834">
      <c r="H834" s="85"/>
      <c r="I834" s="85"/>
      <c r="J834" s="85"/>
      <c r="K834" s="86"/>
      <c r="L834" s="86"/>
    </row>
    <row r="835">
      <c r="H835" s="85"/>
      <c r="I835" s="85"/>
      <c r="J835" s="85"/>
      <c r="K835" s="86"/>
      <c r="L835" s="86"/>
    </row>
    <row r="836">
      <c r="H836" s="85"/>
      <c r="I836" s="85"/>
      <c r="J836" s="85"/>
      <c r="K836" s="86"/>
      <c r="L836" s="86"/>
    </row>
    <row r="837">
      <c r="H837" s="85"/>
      <c r="I837" s="85"/>
      <c r="J837" s="85"/>
      <c r="K837" s="86"/>
      <c r="L837" s="86"/>
    </row>
    <row r="838">
      <c r="H838" s="85"/>
      <c r="I838" s="85"/>
      <c r="J838" s="85"/>
      <c r="K838" s="86"/>
      <c r="L838" s="86"/>
    </row>
    <row r="839">
      <c r="H839" s="85"/>
      <c r="I839" s="85"/>
      <c r="J839" s="85"/>
      <c r="K839" s="86"/>
      <c r="L839" s="86"/>
    </row>
    <row r="840">
      <c r="H840" s="85"/>
      <c r="I840" s="85"/>
      <c r="J840" s="85"/>
      <c r="K840" s="86"/>
      <c r="L840" s="86"/>
    </row>
    <row r="841">
      <c r="H841" s="85"/>
      <c r="I841" s="85"/>
      <c r="J841" s="85"/>
      <c r="K841" s="86"/>
      <c r="L841" s="86"/>
    </row>
    <row r="842">
      <c r="H842" s="85"/>
      <c r="I842" s="85"/>
      <c r="J842" s="85"/>
      <c r="K842" s="86"/>
      <c r="L842" s="86"/>
    </row>
    <row r="843">
      <c r="H843" s="85"/>
      <c r="I843" s="85"/>
      <c r="J843" s="85"/>
      <c r="K843" s="86"/>
      <c r="L843" s="86"/>
    </row>
    <row r="844">
      <c r="H844" s="85"/>
      <c r="I844" s="85"/>
      <c r="J844" s="85"/>
      <c r="K844" s="86"/>
      <c r="L844" s="86"/>
    </row>
    <row r="845">
      <c r="H845" s="85"/>
      <c r="I845" s="85"/>
      <c r="J845" s="85"/>
      <c r="K845" s="86"/>
      <c r="L845" s="86"/>
    </row>
    <row r="846">
      <c r="H846" s="85"/>
      <c r="I846" s="85"/>
      <c r="J846" s="85"/>
      <c r="K846" s="86"/>
      <c r="L846" s="86"/>
    </row>
    <row r="847">
      <c r="H847" s="85"/>
      <c r="I847" s="85"/>
      <c r="J847" s="85"/>
      <c r="K847" s="86"/>
      <c r="L847" s="86"/>
    </row>
    <row r="848">
      <c r="H848" s="85"/>
      <c r="I848" s="85"/>
      <c r="J848" s="85"/>
      <c r="K848" s="86"/>
      <c r="L848" s="86"/>
    </row>
    <row r="849">
      <c r="H849" s="85"/>
      <c r="I849" s="85"/>
      <c r="J849" s="85"/>
      <c r="K849" s="86"/>
      <c r="L849" s="86"/>
    </row>
    <row r="850">
      <c r="H850" s="85"/>
      <c r="I850" s="85"/>
      <c r="J850" s="85"/>
      <c r="K850" s="86"/>
      <c r="L850" s="86"/>
    </row>
    <row r="851">
      <c r="H851" s="85"/>
      <c r="I851" s="85"/>
      <c r="J851" s="85"/>
      <c r="K851" s="86"/>
      <c r="L851" s="86"/>
    </row>
    <row r="852">
      <c r="H852" s="85"/>
      <c r="I852" s="85"/>
      <c r="J852" s="85"/>
      <c r="K852" s="86"/>
      <c r="L852" s="86"/>
    </row>
    <row r="853">
      <c r="H853" s="85"/>
      <c r="I853" s="85"/>
      <c r="J853" s="85"/>
      <c r="K853" s="86"/>
      <c r="L853" s="86"/>
    </row>
    <row r="854">
      <c r="H854" s="85"/>
      <c r="I854" s="85"/>
      <c r="J854" s="85"/>
      <c r="K854" s="86"/>
      <c r="L854" s="86"/>
    </row>
    <row r="855">
      <c r="H855" s="85"/>
      <c r="I855" s="85"/>
      <c r="J855" s="85"/>
      <c r="K855" s="86"/>
      <c r="L855" s="86"/>
    </row>
    <row r="856">
      <c r="H856" s="85"/>
      <c r="I856" s="85"/>
      <c r="J856" s="85"/>
      <c r="K856" s="86"/>
      <c r="L856" s="86"/>
    </row>
    <row r="857">
      <c r="H857" s="85"/>
      <c r="I857" s="85"/>
      <c r="J857" s="85"/>
      <c r="K857" s="86"/>
      <c r="L857" s="86"/>
    </row>
    <row r="858">
      <c r="H858" s="85"/>
      <c r="I858" s="85"/>
      <c r="J858" s="85"/>
      <c r="K858" s="86"/>
      <c r="L858" s="86"/>
    </row>
    <row r="859">
      <c r="H859" s="85"/>
      <c r="I859" s="85"/>
      <c r="J859" s="85"/>
      <c r="K859" s="86"/>
      <c r="L859" s="86"/>
    </row>
    <row r="860">
      <c r="H860" s="85"/>
      <c r="I860" s="85"/>
      <c r="J860" s="85"/>
      <c r="K860" s="86"/>
      <c r="L860" s="86"/>
    </row>
    <row r="861">
      <c r="H861" s="85"/>
      <c r="I861" s="85"/>
      <c r="J861" s="85"/>
      <c r="K861" s="86"/>
      <c r="L861" s="86"/>
    </row>
    <row r="862">
      <c r="H862" s="85"/>
      <c r="I862" s="85"/>
      <c r="J862" s="85"/>
      <c r="K862" s="86"/>
      <c r="L862" s="86"/>
    </row>
    <row r="863">
      <c r="H863" s="85"/>
      <c r="I863" s="85"/>
      <c r="J863" s="85"/>
      <c r="K863" s="86"/>
      <c r="L863" s="86"/>
    </row>
    <row r="864">
      <c r="H864" s="85"/>
      <c r="I864" s="85"/>
      <c r="J864" s="85"/>
      <c r="K864" s="86"/>
      <c r="L864" s="86"/>
    </row>
    <row r="865">
      <c r="H865" s="85"/>
      <c r="I865" s="85"/>
      <c r="J865" s="85"/>
      <c r="K865" s="86"/>
      <c r="L865" s="86"/>
    </row>
    <row r="866">
      <c r="H866" s="85"/>
      <c r="I866" s="85"/>
      <c r="J866" s="85"/>
      <c r="K866" s="86"/>
      <c r="L866" s="86"/>
    </row>
    <row r="867">
      <c r="H867" s="85"/>
      <c r="I867" s="85"/>
      <c r="J867" s="85"/>
      <c r="K867" s="86"/>
      <c r="L867" s="86"/>
    </row>
    <row r="868">
      <c r="H868" s="85"/>
      <c r="I868" s="85"/>
      <c r="J868" s="85"/>
      <c r="K868" s="86"/>
      <c r="L868" s="86"/>
    </row>
    <row r="869">
      <c r="H869" s="85"/>
      <c r="I869" s="85"/>
      <c r="J869" s="85"/>
      <c r="K869" s="86"/>
      <c r="L869" s="86"/>
    </row>
    <row r="870">
      <c r="H870" s="85"/>
      <c r="I870" s="85"/>
      <c r="J870" s="85"/>
      <c r="K870" s="86"/>
      <c r="L870" s="86"/>
    </row>
    <row r="871">
      <c r="H871" s="85"/>
      <c r="I871" s="85"/>
      <c r="J871" s="85"/>
      <c r="K871" s="86"/>
      <c r="L871" s="86"/>
    </row>
    <row r="872">
      <c r="H872" s="85"/>
      <c r="I872" s="85"/>
      <c r="J872" s="85"/>
      <c r="K872" s="86"/>
      <c r="L872" s="86"/>
    </row>
    <row r="873">
      <c r="H873" s="85"/>
      <c r="I873" s="85"/>
      <c r="J873" s="85"/>
      <c r="K873" s="86"/>
      <c r="L873" s="86"/>
    </row>
    <row r="874">
      <c r="H874" s="85"/>
      <c r="I874" s="85"/>
      <c r="J874" s="85"/>
      <c r="K874" s="86"/>
      <c r="L874" s="86"/>
    </row>
    <row r="875">
      <c r="H875" s="85"/>
      <c r="I875" s="85"/>
      <c r="J875" s="85"/>
      <c r="K875" s="86"/>
      <c r="L875" s="86"/>
    </row>
    <row r="876">
      <c r="H876" s="85"/>
      <c r="I876" s="85"/>
      <c r="J876" s="85"/>
      <c r="K876" s="86"/>
      <c r="L876" s="86"/>
    </row>
    <row r="877">
      <c r="H877" s="85"/>
      <c r="I877" s="85"/>
      <c r="J877" s="85"/>
      <c r="K877" s="86"/>
      <c r="L877" s="86"/>
    </row>
    <row r="878">
      <c r="H878" s="85"/>
      <c r="I878" s="85"/>
      <c r="J878" s="85"/>
      <c r="K878" s="86"/>
      <c r="L878" s="86"/>
    </row>
    <row r="879">
      <c r="H879" s="85"/>
      <c r="I879" s="85"/>
      <c r="J879" s="85"/>
      <c r="K879" s="86"/>
      <c r="L879" s="86"/>
    </row>
    <row r="880">
      <c r="H880" s="85"/>
      <c r="I880" s="85"/>
      <c r="J880" s="85"/>
      <c r="K880" s="86"/>
      <c r="L880" s="86"/>
    </row>
    <row r="881">
      <c r="H881" s="85"/>
      <c r="I881" s="85"/>
      <c r="J881" s="85"/>
      <c r="K881" s="86"/>
      <c r="L881" s="86"/>
    </row>
    <row r="882">
      <c r="H882" s="85"/>
      <c r="I882" s="85"/>
      <c r="J882" s="85"/>
      <c r="K882" s="86"/>
      <c r="L882" s="86"/>
    </row>
    <row r="883">
      <c r="H883" s="85"/>
      <c r="I883" s="85"/>
      <c r="J883" s="85"/>
      <c r="K883" s="86"/>
      <c r="L883" s="86"/>
    </row>
    <row r="884">
      <c r="H884" s="85"/>
      <c r="I884" s="85"/>
      <c r="J884" s="85"/>
      <c r="K884" s="86"/>
      <c r="L884" s="86"/>
    </row>
    <row r="885">
      <c r="H885" s="85"/>
      <c r="I885" s="85"/>
      <c r="J885" s="85"/>
      <c r="K885" s="86"/>
      <c r="L885" s="86"/>
    </row>
    <row r="886">
      <c r="H886" s="85"/>
      <c r="I886" s="85"/>
      <c r="J886" s="85"/>
      <c r="K886" s="86"/>
      <c r="L886" s="86"/>
    </row>
    <row r="887">
      <c r="H887" s="85"/>
      <c r="I887" s="85"/>
      <c r="J887" s="85"/>
      <c r="K887" s="86"/>
      <c r="L887" s="86"/>
    </row>
    <row r="888">
      <c r="H888" s="85"/>
      <c r="I888" s="85"/>
      <c r="J888" s="85"/>
      <c r="K888" s="86"/>
      <c r="L888" s="86"/>
    </row>
    <row r="889">
      <c r="H889" s="85"/>
      <c r="I889" s="85"/>
      <c r="J889" s="85"/>
      <c r="K889" s="86"/>
      <c r="L889" s="86"/>
    </row>
    <row r="890">
      <c r="H890" s="85"/>
      <c r="I890" s="85"/>
      <c r="J890" s="85"/>
      <c r="K890" s="86"/>
      <c r="L890" s="86"/>
    </row>
    <row r="891">
      <c r="H891" s="85"/>
      <c r="I891" s="85"/>
      <c r="J891" s="85"/>
      <c r="K891" s="86"/>
      <c r="L891" s="86"/>
    </row>
    <row r="892">
      <c r="H892" s="85"/>
      <c r="I892" s="85"/>
      <c r="J892" s="85"/>
      <c r="K892" s="86"/>
      <c r="L892" s="86"/>
    </row>
    <row r="893">
      <c r="H893" s="85"/>
      <c r="I893" s="85"/>
      <c r="J893" s="85"/>
      <c r="K893" s="86"/>
      <c r="L893" s="86"/>
    </row>
    <row r="894">
      <c r="H894" s="85"/>
      <c r="I894" s="85"/>
      <c r="J894" s="85"/>
      <c r="K894" s="86"/>
      <c r="L894" s="86"/>
    </row>
    <row r="895">
      <c r="H895" s="85"/>
      <c r="I895" s="85"/>
      <c r="J895" s="85"/>
      <c r="K895" s="86"/>
      <c r="L895" s="86"/>
    </row>
    <row r="896">
      <c r="H896" s="85"/>
      <c r="I896" s="85"/>
      <c r="J896" s="85"/>
      <c r="K896" s="86"/>
      <c r="L896" s="86"/>
    </row>
    <row r="897">
      <c r="H897" s="85"/>
      <c r="I897" s="85"/>
      <c r="J897" s="85"/>
      <c r="K897" s="86"/>
      <c r="L897" s="86"/>
    </row>
    <row r="898">
      <c r="H898" s="85"/>
      <c r="I898" s="85"/>
      <c r="J898" s="85"/>
      <c r="K898" s="86"/>
      <c r="L898" s="86"/>
    </row>
    <row r="899">
      <c r="H899" s="85"/>
      <c r="I899" s="85"/>
      <c r="J899" s="85"/>
      <c r="K899" s="86"/>
      <c r="L899" s="86"/>
    </row>
    <row r="900">
      <c r="H900" s="85"/>
      <c r="I900" s="85"/>
      <c r="J900" s="85"/>
      <c r="K900" s="86"/>
      <c r="L900" s="86"/>
    </row>
    <row r="901">
      <c r="H901" s="85"/>
      <c r="I901" s="85"/>
      <c r="J901" s="85"/>
      <c r="K901" s="86"/>
      <c r="L901" s="86"/>
    </row>
    <row r="902">
      <c r="H902" s="85"/>
      <c r="I902" s="85"/>
      <c r="J902" s="85"/>
      <c r="K902" s="86"/>
      <c r="L902" s="86"/>
    </row>
    <row r="903">
      <c r="H903" s="85"/>
      <c r="I903" s="85"/>
      <c r="J903" s="85"/>
      <c r="K903" s="86"/>
      <c r="L903" s="86"/>
    </row>
    <row r="904">
      <c r="H904" s="85"/>
      <c r="I904" s="85"/>
      <c r="J904" s="85"/>
      <c r="K904" s="86"/>
      <c r="L904" s="86"/>
    </row>
    <row r="905">
      <c r="H905" s="85"/>
      <c r="I905" s="85"/>
      <c r="J905" s="85"/>
      <c r="K905" s="86"/>
      <c r="L905" s="86"/>
    </row>
    <row r="906">
      <c r="H906" s="85"/>
      <c r="I906" s="85"/>
      <c r="J906" s="85"/>
      <c r="K906" s="86"/>
      <c r="L906" s="86"/>
    </row>
    <row r="907">
      <c r="H907" s="85"/>
      <c r="I907" s="85"/>
      <c r="J907" s="85"/>
      <c r="K907" s="86"/>
      <c r="L907" s="86"/>
    </row>
    <row r="908">
      <c r="H908" s="85"/>
      <c r="I908" s="85"/>
      <c r="J908" s="85"/>
      <c r="K908" s="86"/>
      <c r="L908" s="86"/>
    </row>
    <row r="909">
      <c r="H909" s="85"/>
      <c r="I909" s="85"/>
      <c r="J909" s="85"/>
      <c r="K909" s="86"/>
      <c r="L909" s="86"/>
    </row>
    <row r="910">
      <c r="H910" s="85"/>
      <c r="I910" s="85"/>
      <c r="J910" s="85"/>
      <c r="K910" s="86"/>
      <c r="L910" s="86"/>
    </row>
    <row r="911">
      <c r="H911" s="85"/>
      <c r="I911" s="85"/>
      <c r="J911" s="85"/>
      <c r="K911" s="86"/>
      <c r="L911" s="86"/>
    </row>
    <row r="912">
      <c r="H912" s="85"/>
      <c r="I912" s="85"/>
      <c r="J912" s="85"/>
      <c r="K912" s="86"/>
      <c r="L912" s="86"/>
    </row>
    <row r="913">
      <c r="H913" s="85"/>
      <c r="I913" s="85"/>
      <c r="J913" s="85"/>
      <c r="K913" s="86"/>
      <c r="L913" s="86"/>
    </row>
    <row r="914">
      <c r="H914" s="85"/>
      <c r="I914" s="85"/>
      <c r="J914" s="85"/>
      <c r="K914" s="86"/>
      <c r="L914" s="86"/>
    </row>
    <row r="915">
      <c r="H915" s="85"/>
      <c r="I915" s="85"/>
      <c r="J915" s="85"/>
      <c r="K915" s="86"/>
      <c r="L915" s="86"/>
    </row>
    <row r="916">
      <c r="H916" s="85"/>
      <c r="I916" s="85"/>
      <c r="J916" s="85"/>
      <c r="K916" s="86"/>
      <c r="L916" s="86"/>
    </row>
    <row r="917">
      <c r="H917" s="85"/>
      <c r="I917" s="85"/>
      <c r="J917" s="85"/>
      <c r="K917" s="86"/>
      <c r="L917" s="86"/>
    </row>
    <row r="918">
      <c r="H918" s="85"/>
      <c r="I918" s="85"/>
      <c r="J918" s="85"/>
      <c r="K918" s="86"/>
      <c r="L918" s="86"/>
    </row>
    <row r="919">
      <c r="H919" s="85"/>
      <c r="I919" s="85"/>
      <c r="J919" s="85"/>
      <c r="K919" s="86"/>
      <c r="L919" s="86"/>
    </row>
    <row r="920">
      <c r="H920" s="85"/>
      <c r="I920" s="85"/>
      <c r="J920" s="85"/>
      <c r="K920" s="86"/>
      <c r="L920" s="86"/>
    </row>
    <row r="921">
      <c r="H921" s="85"/>
      <c r="I921" s="85"/>
      <c r="J921" s="85"/>
      <c r="K921" s="86"/>
      <c r="L921" s="86"/>
    </row>
    <row r="922">
      <c r="H922" s="85"/>
      <c r="I922" s="85"/>
      <c r="J922" s="85"/>
      <c r="K922" s="86"/>
      <c r="L922" s="86"/>
    </row>
    <row r="923">
      <c r="H923" s="85"/>
      <c r="I923" s="85"/>
      <c r="J923" s="85"/>
      <c r="K923" s="86"/>
      <c r="L923" s="86"/>
    </row>
    <row r="924">
      <c r="H924" s="85"/>
      <c r="I924" s="85"/>
      <c r="J924" s="85"/>
      <c r="K924" s="86"/>
      <c r="L924" s="86"/>
    </row>
    <row r="925">
      <c r="H925" s="85"/>
      <c r="I925" s="85"/>
      <c r="J925" s="85"/>
      <c r="K925" s="86"/>
      <c r="L925" s="86"/>
    </row>
    <row r="926">
      <c r="H926" s="85"/>
      <c r="I926" s="85"/>
      <c r="J926" s="85"/>
      <c r="K926" s="86"/>
      <c r="L926" s="86"/>
    </row>
    <row r="927">
      <c r="H927" s="85"/>
      <c r="I927" s="85"/>
      <c r="J927" s="85"/>
      <c r="K927" s="86"/>
      <c r="L927" s="86"/>
    </row>
    <row r="928">
      <c r="H928" s="85"/>
      <c r="I928" s="85"/>
      <c r="J928" s="85"/>
      <c r="K928" s="86"/>
      <c r="L928" s="86"/>
    </row>
    <row r="929">
      <c r="H929" s="85"/>
      <c r="I929" s="85"/>
      <c r="J929" s="85"/>
      <c r="K929" s="86"/>
      <c r="L929" s="86"/>
    </row>
    <row r="930">
      <c r="H930" s="85"/>
      <c r="I930" s="85"/>
      <c r="J930" s="85"/>
      <c r="K930" s="86"/>
      <c r="L930" s="86"/>
    </row>
    <row r="931">
      <c r="H931" s="85"/>
      <c r="I931" s="85"/>
      <c r="J931" s="85"/>
      <c r="K931" s="86"/>
      <c r="L931" s="86"/>
    </row>
    <row r="932">
      <c r="H932" s="85"/>
      <c r="I932" s="85"/>
      <c r="J932" s="85"/>
      <c r="K932" s="86"/>
      <c r="L932" s="86"/>
    </row>
    <row r="933">
      <c r="H933" s="85"/>
      <c r="I933" s="85"/>
      <c r="J933" s="85"/>
      <c r="K933" s="86"/>
      <c r="L933" s="86"/>
    </row>
    <row r="934">
      <c r="H934" s="85"/>
      <c r="I934" s="85"/>
      <c r="J934" s="85"/>
      <c r="K934" s="86"/>
      <c r="L934" s="86"/>
    </row>
    <row r="935">
      <c r="H935" s="85"/>
      <c r="I935" s="85"/>
      <c r="J935" s="85"/>
      <c r="K935" s="86"/>
      <c r="L935" s="86"/>
    </row>
    <row r="936">
      <c r="H936" s="85"/>
      <c r="I936" s="85"/>
      <c r="J936" s="85"/>
      <c r="K936" s="86"/>
      <c r="L936" s="86"/>
    </row>
    <row r="937">
      <c r="H937" s="85"/>
      <c r="I937" s="85"/>
      <c r="J937" s="85"/>
      <c r="K937" s="86"/>
      <c r="L937" s="86"/>
    </row>
    <row r="938">
      <c r="H938" s="85"/>
      <c r="I938" s="85"/>
      <c r="J938" s="85"/>
      <c r="K938" s="86"/>
      <c r="L938" s="86"/>
    </row>
    <row r="939">
      <c r="H939" s="85"/>
      <c r="I939" s="85"/>
      <c r="J939" s="85"/>
      <c r="K939" s="86"/>
      <c r="L939" s="86"/>
    </row>
    <row r="940">
      <c r="H940" s="85"/>
      <c r="I940" s="85"/>
      <c r="J940" s="85"/>
      <c r="K940" s="86"/>
      <c r="L940" s="86"/>
    </row>
    <row r="941">
      <c r="H941" s="85"/>
      <c r="I941" s="85"/>
      <c r="J941" s="85"/>
      <c r="K941" s="86"/>
      <c r="L941" s="86"/>
    </row>
    <row r="942">
      <c r="H942" s="85"/>
      <c r="I942" s="85"/>
      <c r="J942" s="85"/>
      <c r="K942" s="86"/>
      <c r="L942" s="86"/>
    </row>
    <row r="943">
      <c r="H943" s="85"/>
      <c r="I943" s="85"/>
      <c r="J943" s="85"/>
      <c r="K943" s="86"/>
      <c r="L943" s="86"/>
    </row>
    <row r="944">
      <c r="H944" s="85"/>
      <c r="I944" s="85"/>
      <c r="J944" s="85"/>
      <c r="K944" s="86"/>
      <c r="L944" s="86"/>
    </row>
    <row r="945">
      <c r="H945" s="85"/>
      <c r="I945" s="85"/>
      <c r="J945" s="85"/>
      <c r="K945" s="86"/>
      <c r="L945" s="86"/>
    </row>
    <row r="946">
      <c r="H946" s="85"/>
      <c r="I946" s="85"/>
      <c r="J946" s="85"/>
      <c r="K946" s="86"/>
      <c r="L946" s="86"/>
    </row>
    <row r="947">
      <c r="H947" s="85"/>
      <c r="I947" s="85"/>
      <c r="J947" s="85"/>
      <c r="K947" s="86"/>
      <c r="L947" s="86"/>
    </row>
    <row r="948">
      <c r="H948" s="85"/>
      <c r="I948" s="85"/>
      <c r="J948" s="85"/>
      <c r="K948" s="86"/>
      <c r="L948" s="86"/>
    </row>
    <row r="949">
      <c r="H949" s="85"/>
      <c r="I949" s="85"/>
      <c r="J949" s="85"/>
      <c r="K949" s="86"/>
      <c r="L949" s="86"/>
    </row>
    <row r="950">
      <c r="H950" s="85"/>
      <c r="I950" s="85"/>
      <c r="J950" s="85"/>
      <c r="K950" s="86"/>
      <c r="L950" s="86"/>
    </row>
    <row r="951">
      <c r="H951" s="85"/>
      <c r="I951" s="85"/>
      <c r="J951" s="85"/>
      <c r="K951" s="86"/>
      <c r="L951" s="86"/>
    </row>
    <row r="952">
      <c r="H952" s="85"/>
      <c r="I952" s="85"/>
      <c r="J952" s="85"/>
      <c r="K952" s="86"/>
      <c r="L952" s="86"/>
    </row>
    <row r="953">
      <c r="H953" s="85"/>
      <c r="I953" s="85"/>
      <c r="J953" s="85"/>
      <c r="K953" s="86"/>
      <c r="L953" s="86"/>
    </row>
    <row r="954">
      <c r="H954" s="85"/>
      <c r="I954" s="85"/>
      <c r="J954" s="85"/>
      <c r="K954" s="86"/>
      <c r="L954" s="86"/>
    </row>
    <row r="955">
      <c r="H955" s="85"/>
      <c r="I955" s="85"/>
      <c r="J955" s="85"/>
      <c r="K955" s="86"/>
      <c r="L955" s="86"/>
    </row>
    <row r="956">
      <c r="H956" s="85"/>
      <c r="I956" s="85"/>
      <c r="J956" s="85"/>
      <c r="K956" s="86"/>
      <c r="L956" s="86"/>
    </row>
    <row r="957">
      <c r="H957" s="85"/>
      <c r="I957" s="85"/>
      <c r="J957" s="85"/>
      <c r="K957" s="86"/>
      <c r="L957" s="86"/>
    </row>
    <row r="958">
      <c r="H958" s="85"/>
      <c r="I958" s="85"/>
      <c r="J958" s="85"/>
      <c r="K958" s="86"/>
      <c r="L958" s="86"/>
    </row>
    <row r="959">
      <c r="H959" s="85"/>
      <c r="I959" s="85"/>
      <c r="J959" s="85"/>
      <c r="K959" s="86"/>
      <c r="L959" s="86"/>
    </row>
    <row r="960">
      <c r="H960" s="85"/>
      <c r="I960" s="85"/>
      <c r="J960" s="85"/>
      <c r="K960" s="86"/>
      <c r="L960" s="86"/>
    </row>
    <row r="961">
      <c r="H961" s="85"/>
      <c r="I961" s="85"/>
      <c r="J961" s="85"/>
      <c r="K961" s="86"/>
      <c r="L961" s="86"/>
    </row>
    <row r="962">
      <c r="H962" s="85"/>
      <c r="I962" s="85"/>
      <c r="J962" s="85"/>
      <c r="K962" s="86"/>
      <c r="L962" s="86"/>
    </row>
    <row r="963">
      <c r="H963" s="85"/>
      <c r="I963" s="85"/>
      <c r="J963" s="85"/>
      <c r="K963" s="86"/>
      <c r="L963" s="86"/>
    </row>
    <row r="964">
      <c r="H964" s="85"/>
      <c r="I964" s="85"/>
      <c r="J964" s="85"/>
      <c r="K964" s="86"/>
      <c r="L964" s="86"/>
    </row>
    <row r="965">
      <c r="H965" s="85"/>
      <c r="I965" s="85"/>
      <c r="J965" s="85"/>
      <c r="K965" s="86"/>
      <c r="L965" s="86"/>
    </row>
    <row r="966">
      <c r="H966" s="85"/>
      <c r="I966" s="85"/>
      <c r="J966" s="85"/>
      <c r="K966" s="86"/>
      <c r="L966" s="86"/>
    </row>
    <row r="967">
      <c r="H967" s="85"/>
      <c r="I967" s="85"/>
      <c r="J967" s="85"/>
      <c r="K967" s="86"/>
      <c r="L967" s="86"/>
    </row>
    <row r="968">
      <c r="H968" s="85"/>
      <c r="I968" s="85"/>
      <c r="J968" s="85"/>
      <c r="K968" s="86"/>
      <c r="L968" s="86"/>
    </row>
    <row r="969">
      <c r="H969" s="85"/>
      <c r="I969" s="85"/>
      <c r="J969" s="85"/>
      <c r="K969" s="86"/>
      <c r="L969" s="86"/>
    </row>
    <row r="970">
      <c r="H970" s="85"/>
      <c r="I970" s="85"/>
      <c r="J970" s="85"/>
      <c r="K970" s="86"/>
      <c r="L970" s="86"/>
    </row>
    <row r="971">
      <c r="H971" s="85"/>
      <c r="I971" s="85"/>
      <c r="J971" s="85"/>
      <c r="K971" s="86"/>
      <c r="L971" s="86"/>
    </row>
    <row r="972">
      <c r="H972" s="85"/>
      <c r="I972" s="85"/>
      <c r="J972" s="85"/>
      <c r="K972" s="86"/>
      <c r="L972" s="86"/>
    </row>
    <row r="973">
      <c r="H973" s="85"/>
      <c r="I973" s="85"/>
      <c r="J973" s="85"/>
      <c r="K973" s="86"/>
      <c r="L973" s="86"/>
    </row>
    <row r="974">
      <c r="H974" s="85"/>
      <c r="I974" s="85"/>
      <c r="J974" s="85"/>
      <c r="K974" s="86"/>
      <c r="L974" s="86"/>
    </row>
    <row r="975">
      <c r="H975" s="85"/>
      <c r="I975" s="85"/>
      <c r="J975" s="85"/>
      <c r="K975" s="86"/>
      <c r="L975" s="86"/>
    </row>
    <row r="976">
      <c r="H976" s="85"/>
      <c r="I976" s="85"/>
      <c r="J976" s="85"/>
      <c r="K976" s="86"/>
      <c r="L976" s="86"/>
    </row>
    <row r="977">
      <c r="H977" s="85"/>
      <c r="I977" s="85"/>
      <c r="J977" s="85"/>
      <c r="K977" s="86"/>
      <c r="L977" s="86"/>
    </row>
    <row r="978">
      <c r="H978" s="85"/>
      <c r="I978" s="85"/>
      <c r="J978" s="85"/>
      <c r="K978" s="86"/>
      <c r="L978" s="86"/>
    </row>
    <row r="979">
      <c r="H979" s="85"/>
      <c r="I979" s="85"/>
      <c r="J979" s="85"/>
      <c r="K979" s="86"/>
      <c r="L979" s="86"/>
    </row>
    <row r="980">
      <c r="H980" s="85"/>
      <c r="I980" s="85"/>
      <c r="J980" s="85"/>
      <c r="K980" s="86"/>
      <c r="L980" s="86"/>
    </row>
    <row r="981">
      <c r="H981" s="85"/>
      <c r="I981" s="85"/>
      <c r="J981" s="85"/>
      <c r="K981" s="86"/>
      <c r="L981" s="86"/>
    </row>
    <row r="982">
      <c r="H982" s="85"/>
      <c r="I982" s="85"/>
      <c r="J982" s="85"/>
      <c r="K982" s="86"/>
      <c r="L982" s="86"/>
    </row>
    <row r="983">
      <c r="H983" s="85"/>
      <c r="I983" s="85"/>
      <c r="J983" s="85"/>
      <c r="K983" s="86"/>
      <c r="L983" s="86"/>
    </row>
    <row r="984">
      <c r="H984" s="85"/>
      <c r="I984" s="85"/>
      <c r="J984" s="85"/>
      <c r="K984" s="86"/>
      <c r="L984" s="86"/>
    </row>
    <row r="985">
      <c r="H985" s="85"/>
      <c r="I985" s="85"/>
      <c r="J985" s="85"/>
      <c r="K985" s="86"/>
      <c r="L985" s="86"/>
    </row>
    <row r="986">
      <c r="H986" s="85"/>
      <c r="I986" s="85"/>
      <c r="J986" s="85"/>
      <c r="K986" s="86"/>
      <c r="L986" s="86"/>
    </row>
    <row r="987">
      <c r="H987" s="85"/>
      <c r="I987" s="85"/>
      <c r="J987" s="85"/>
      <c r="K987" s="86"/>
      <c r="L987" s="86"/>
    </row>
    <row r="988">
      <c r="H988" s="85"/>
      <c r="I988" s="85"/>
      <c r="J988" s="85"/>
      <c r="K988" s="86"/>
      <c r="L988" s="86"/>
    </row>
    <row r="989">
      <c r="H989" s="85"/>
      <c r="I989" s="85"/>
      <c r="J989" s="85"/>
      <c r="K989" s="86"/>
      <c r="L989" s="86"/>
    </row>
    <row r="990">
      <c r="H990" s="85"/>
      <c r="I990" s="85"/>
      <c r="J990" s="85"/>
      <c r="K990" s="86"/>
      <c r="L990" s="86"/>
    </row>
    <row r="991">
      <c r="H991" s="85"/>
      <c r="I991" s="85"/>
      <c r="J991" s="85"/>
      <c r="K991" s="86"/>
      <c r="L991" s="86"/>
    </row>
    <row r="992">
      <c r="H992" s="85"/>
      <c r="I992" s="85"/>
      <c r="J992" s="85"/>
      <c r="K992" s="86"/>
      <c r="L992" s="86"/>
    </row>
    <row r="993">
      <c r="H993" s="85"/>
      <c r="I993" s="85"/>
      <c r="J993" s="85"/>
      <c r="K993" s="86"/>
      <c r="L993" s="86"/>
    </row>
    <row r="994">
      <c r="H994" s="85"/>
      <c r="I994" s="85"/>
      <c r="J994" s="85"/>
      <c r="K994" s="86"/>
      <c r="L994" s="86"/>
    </row>
    <row r="995">
      <c r="H995" s="85"/>
      <c r="I995" s="85"/>
      <c r="J995" s="85"/>
      <c r="K995" s="86"/>
      <c r="L995" s="86"/>
    </row>
    <row r="996">
      <c r="H996" s="85"/>
      <c r="I996" s="85"/>
      <c r="J996" s="85"/>
      <c r="K996" s="86"/>
      <c r="L996" s="86"/>
    </row>
    <row r="997">
      <c r="H997" s="85"/>
      <c r="I997" s="85"/>
      <c r="J997" s="85"/>
      <c r="K997" s="86"/>
      <c r="L997" s="86"/>
    </row>
    <row r="998">
      <c r="H998" s="85"/>
      <c r="I998" s="85"/>
      <c r="J998" s="85"/>
      <c r="K998" s="86"/>
      <c r="L998" s="86"/>
    </row>
    <row r="999">
      <c r="H999" s="85"/>
      <c r="I999" s="85"/>
      <c r="J999" s="85"/>
      <c r="K999" s="86"/>
      <c r="L999" s="86"/>
    </row>
    <row r="1000">
      <c r="H1000" s="85"/>
      <c r="I1000" s="85"/>
      <c r="J1000" s="85"/>
      <c r="K1000" s="86"/>
      <c r="L1000" s="86"/>
    </row>
  </sheetData>
  <conditionalFormatting sqref="N2:N51">
    <cfRule type="containsText" dxfId="17" priority="1" operator="containsText" text="DELIVERED">
      <formula>NOT(ISERROR(SEARCH(("DELIVERED"),(N2))))</formula>
    </cfRule>
  </conditionalFormatting>
  <conditionalFormatting sqref="N2:N51">
    <cfRule type="containsText" dxfId="18" priority="2" operator="containsText" text="SHIPPED">
      <formula>NOT(ISERROR(SEARCH(("SHIPPED"),(N2))))</formula>
    </cfRule>
  </conditionalFormatting>
  <conditionalFormatting sqref="N2:N51">
    <cfRule type="containsText" dxfId="19" priority="3" operator="containsText" text="PROCESSING">
      <formula>NOT(ISERROR(SEARCH(("PROCESSING"),(N2))))</formula>
    </cfRule>
  </conditionalFormatting>
  <dataValidations>
    <dataValidation type="custom" allowBlank="1" showDropDown="1" sqref="B2:B51">
      <formula1>OR(NOT(ISERROR(DATEVALUE(B2))), AND(ISNUMBER(B2), LEFT(CELL("format", B2))="D"))</formula1>
    </dataValidation>
    <dataValidation type="custom" allowBlank="1" showDropDown="1" sqref="K2:K51 M2:M51 O2:O51">
      <formula1>AND(ISNUMBER(K2),(NOT(OR(NOT(ISERROR(DATEVALUE(K2))), AND(ISNUMBER(K2), LEFT(CELL("format", K2))="D")))))</formula1>
    </dataValidation>
  </dataValidations>
  <printOptions gridLines="1" horizontalCentered="1"/>
  <pageMargins bottom="0.75" footer="0.0" header="0.0" left="0.7" right="0.7" top="0.75"/>
  <pageSetup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6" max="6" width="29.43"/>
  </cols>
  <sheetData>
    <row r="2">
      <c r="B2" s="72" t="s">
        <v>339</v>
      </c>
      <c r="C2" s="87">
        <f>SUM(SalesData[ORIGINAL PRICE])</f>
        <v>58900</v>
      </c>
      <c r="F2" s="44" t="s">
        <v>340</v>
      </c>
    </row>
    <row r="3">
      <c r="B3" s="72" t="s">
        <v>341</v>
      </c>
      <c r="C3" s="88">
        <f>SUM(SalesData[PROFIT])</f>
        <v>14968.5</v>
      </c>
      <c r="F3" s="89" t="str">
        <f t="array" ref="F3">index(B11:B14,match(max(C11:C14),C11:C14,0))</f>
        <v>North</v>
      </c>
    </row>
    <row r="4">
      <c r="B4" s="72" t="s">
        <v>342</v>
      </c>
      <c r="C4" s="90">
        <f>COUNTA(SalesData[Order ID])</f>
        <v>50</v>
      </c>
    </row>
    <row r="5">
      <c r="B5" s="72" t="s">
        <v>343</v>
      </c>
      <c r="C5" s="91">
        <f>AVERAGE(data!K29:K51)</f>
        <v>0.1783937198</v>
      </c>
    </row>
    <row r="9">
      <c r="B9" s="92" t="s">
        <v>344</v>
      </c>
    </row>
    <row r="10"/>
    <row r="11"/>
    <row r="12"/>
    <row r="13"/>
    <row r="14"/>
    <row r="18">
      <c r="B18" s="95" t="s">
        <v>346</v>
      </c>
    </row>
    <row r="19"/>
    <row r="20"/>
    <row r="21"/>
    <row r="22"/>
    <row r="29">
      <c r="B29" s="44"/>
    </row>
    <row r="30">
      <c r="B30" s="97" t="s">
        <v>348</v>
      </c>
    </row>
    <row r="31">
      <c r="B31" s="27" t="s">
        <v>46</v>
      </c>
      <c r="C31" s="27" t="s">
        <v>349</v>
      </c>
    </row>
    <row r="32">
      <c r="B32" s="98" t="s">
        <v>55</v>
      </c>
      <c r="C32" s="99">
        <f>COUNTIFS(SalesData[Status],B32)</f>
        <v>25</v>
      </c>
    </row>
    <row r="33">
      <c r="B33" s="27" t="s">
        <v>350</v>
      </c>
      <c r="C33" s="62">
        <f>COUNTIFS(SalesData[Status],B33)</f>
        <v>13</v>
      </c>
    </row>
    <row r="34">
      <c r="B34" s="98" t="s">
        <v>351</v>
      </c>
      <c r="C34" s="99">
        <f>COUNTIFS(SalesData[Status],B34)</f>
        <v>12</v>
      </c>
    </row>
  </sheetData>
  <mergeCells count="3">
    <mergeCell ref="B9:C9"/>
    <mergeCell ref="B30:C30"/>
    <mergeCell ref="B18:C18"/>
  </mergeCells>
  <drawing r:id="rId3"/>
  <tableParts count="1">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8" max="8" width="15.43"/>
  </cols>
  <sheetData>
    <row r="2">
      <c r="B2" s="100" t="s">
        <v>352</v>
      </c>
    </row>
    <row r="3">
      <c r="B3" s="27" t="s">
        <v>353</v>
      </c>
      <c r="C3" s="27" t="s">
        <v>255</v>
      </c>
    </row>
    <row r="4">
      <c r="B4" s="24" t="s">
        <v>354</v>
      </c>
      <c r="C4" s="101" t="str">
        <f t="array" ref="C4">IFERROR(INDEX(SalesData[Customer Name],MATCH($C$3,SalesData[Order ID],0)),"NOT FOUND")</f>
        <v>Julia Hall</v>
      </c>
    </row>
    <row r="5">
      <c r="B5" s="27" t="s">
        <v>355</v>
      </c>
      <c r="C5" s="62" t="str">
        <f t="array" ref="C5">IFERROR(INDEX(SalesData[Region],MATCH($C$3,SalesData[Order ID],0)),"NOT FOUND")</f>
        <v>South</v>
      </c>
    </row>
    <row r="6">
      <c r="B6" s="24" t="s">
        <v>356</v>
      </c>
      <c r="C6" s="101" t="str">
        <f t="array" ref="C6">IFERROR(INDEX(SalesData[Category],MATCH($C$3,SalesData[Order ID],0)),"NOT FOUND")</f>
        <v>Electronics</v>
      </c>
    </row>
    <row r="7">
      <c r="B7" s="27" t="s">
        <v>357</v>
      </c>
      <c r="C7" s="62">
        <f t="array" ref="C7">IFERROR(INDEX(SalesData[ORIGINAL PRICE],MATCH($C$3,SalesData[Order ID],0)),"NOT FOUND")</f>
        <v>1200</v>
      </c>
    </row>
    <row r="8">
      <c r="B8" s="24" t="s">
        <v>358</v>
      </c>
      <c r="C8" s="101">
        <f t="array" ref="C8">IFERROR(INDEX(SalesData[PROFIT],MATCH($C$3,SalesData[Order ID],0)),"NOT FOUND")</f>
        <v>342</v>
      </c>
    </row>
    <row r="9">
      <c r="B9" s="27" t="s">
        <v>359</v>
      </c>
      <c r="C9" s="62" t="str">
        <f t="array" ref="C9">IFERROR(INDEX(SalesData[Status],MATCH($C$3,SalesData[Order ID],0)),"NOT FOUND")</f>
        <v>Delivered</v>
      </c>
    </row>
  </sheetData>
  <mergeCells count="1">
    <mergeCell ref="B2:C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8.43"/>
    <col customWidth="1" min="2" max="2" width="23.57"/>
    <col customWidth="1" min="3" max="3" width="30.43"/>
  </cols>
  <sheetData>
    <row r="5"/>
    <row r="6"/>
    <row r="7"/>
    <row r="8"/>
    <row r="9"/>
    <row r="10">
      <c r="B10" s="90"/>
      <c r="C10" s="90"/>
    </row>
    <row r="27"/>
    <row r="28"/>
    <row r="29"/>
    <row r="30">
      <c r="L30" s="102"/>
    </row>
    <row r="31">
      <c r="L31" s="102"/>
    </row>
    <row r="32">
      <c r="L32" s="102"/>
    </row>
    <row r="49"/>
    <row r="50"/>
    <row r="51"/>
    <row r="52"/>
    <row r="53"/>
  </sheetData>
  <customSheetViews>
    <customSheetView guid="{7AD59AF9-EE1F-4256-B04D-717C410042DE}" filter="1" showAutoFilter="1">
      <autoFilter ref="$B$27:$C$29"/>
    </customSheetView>
    <customSheetView guid="{7AD59AF9-EE1F-4256-B04D-717C410042DE}" filter="1" showAutoFilter="1">
      <autoFilter ref="$B$5:$C$9"/>
    </customSheetView>
    <customSheetView guid="{7AD59AF9-EE1F-4256-B04D-717C410042DE}" filter="1" showAutoFilter="1">
      <autoFilter ref="$B$27:$C$29"/>
    </customSheetView>
    <customSheetView guid="{7AD59AF9-EE1F-4256-B04D-717C410042DE}" filter="1" showAutoFilter="1">
      <autoFilter ref="$B$5:$C$9"/>
    </customSheetView>
  </customSheetViews>
  <drawing r:id="rId5"/>
  <tableParts count="2">
    <tablePart r:id="rId8"/>
    <tablePart r:id="rId9"/>
  </tableParts>
  <extLst>
    <ext uri="{3A4CF648-6AED-40f4-86FF-DC5316D8AED3}">
      <x14:slicerList>
        <x14:slicer r:id="rId10"/>
      </x14:slicerList>
    </ext>
  </extLst>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4.43" defaultRowHeight="15.75"/>
  <cols>
    <col customWidth="1" min="2" max="2" width="29.14"/>
    <col customWidth="1" min="3" max="3" width="28.86"/>
    <col customWidth="1" min="4" max="4" width="28.29"/>
    <col customWidth="1" min="5" max="5" width="23.57"/>
  </cols>
  <sheetData>
    <row r="1">
      <c r="A1" s="35"/>
      <c r="B1" s="35"/>
      <c r="C1" s="35"/>
      <c r="D1" s="35"/>
      <c r="E1" s="35"/>
      <c r="F1" s="35"/>
      <c r="G1" s="35"/>
      <c r="H1" s="35"/>
      <c r="I1" s="35"/>
      <c r="J1" s="35"/>
      <c r="K1" s="35"/>
      <c r="L1" s="35"/>
      <c r="M1" s="35"/>
      <c r="N1" s="35"/>
      <c r="O1" s="35"/>
    </row>
    <row r="2">
      <c r="A2" s="104" t="s">
        <v>362</v>
      </c>
      <c r="B2" s="8"/>
      <c r="C2" s="8"/>
      <c r="D2" s="8"/>
      <c r="E2" s="8"/>
      <c r="F2" s="8"/>
      <c r="G2" s="8"/>
      <c r="H2" s="8"/>
      <c r="I2" s="8"/>
      <c r="J2" s="8"/>
      <c r="K2" s="8"/>
      <c r="L2" s="8"/>
      <c r="M2" s="8"/>
      <c r="N2" s="8"/>
      <c r="O2" s="9"/>
    </row>
    <row r="3">
      <c r="A3" s="10"/>
      <c r="O3" s="11"/>
    </row>
    <row r="4">
      <c r="A4" s="10"/>
      <c r="O4" s="11"/>
    </row>
    <row r="5">
      <c r="A5" s="10"/>
      <c r="O5" s="11"/>
    </row>
    <row r="6">
      <c r="A6" s="10"/>
      <c r="B6" s="105" t="s">
        <v>363</v>
      </c>
      <c r="C6" s="105" t="s">
        <v>364</v>
      </c>
      <c r="D6" s="105" t="s">
        <v>365</v>
      </c>
      <c r="E6" s="105" t="s">
        <v>366</v>
      </c>
      <c r="O6" s="11"/>
    </row>
    <row r="7">
      <c r="A7" s="10"/>
      <c r="B7" s="106">
        <f>SUM(SalesData[ORIGINAL PRICE])</f>
        <v>58900</v>
      </c>
      <c r="C7" s="107">
        <f>SUM(SalesData[PROFIT])</f>
        <v>14968.5</v>
      </c>
      <c r="D7" s="108">
        <f>COUNTA(SalesData[Order ID])</f>
        <v>50</v>
      </c>
      <c r="E7" s="108" t="str">
        <f t="array" ref="E7">INDEX(summary!B11:B14,MATCH(MAX(summary!C11:C14),summary!C11:C14,0))</f>
        <v>North</v>
      </c>
      <c r="O7" s="11"/>
    </row>
    <row r="8">
      <c r="A8" s="10"/>
      <c r="O8" s="11"/>
    </row>
    <row r="9">
      <c r="A9" s="10"/>
      <c r="O9" s="11"/>
    </row>
    <row r="10">
      <c r="A10" s="10"/>
      <c r="O10" s="11"/>
    </row>
    <row r="11">
      <c r="A11" s="10"/>
      <c r="G11" s="109"/>
      <c r="O11" s="11"/>
    </row>
    <row r="12">
      <c r="A12" s="10"/>
      <c r="O12" s="11"/>
    </row>
    <row r="13">
      <c r="A13" s="10"/>
      <c r="O13" s="11"/>
    </row>
    <row r="14">
      <c r="A14" s="10"/>
      <c r="O14" s="11"/>
    </row>
    <row r="15">
      <c r="A15" s="10"/>
      <c r="O15" s="11"/>
    </row>
    <row r="16">
      <c r="A16" s="10"/>
      <c r="O16" s="11"/>
    </row>
    <row r="17">
      <c r="A17" s="10"/>
      <c r="O17" s="11"/>
    </row>
    <row r="18">
      <c r="A18" s="10"/>
      <c r="O18" s="11"/>
    </row>
    <row r="19">
      <c r="A19" s="10"/>
      <c r="O19" s="11"/>
    </row>
    <row r="20">
      <c r="A20" s="10"/>
      <c r="O20" s="11"/>
    </row>
    <row r="21">
      <c r="A21" s="10"/>
      <c r="O21" s="11"/>
    </row>
    <row r="22">
      <c r="A22" s="10"/>
      <c r="O22" s="11"/>
    </row>
    <row r="23">
      <c r="A23" s="10"/>
      <c r="O23" s="11"/>
    </row>
    <row r="24">
      <c r="A24" s="10"/>
      <c r="O24" s="11"/>
    </row>
    <row r="25">
      <c r="A25" s="10"/>
      <c r="O25" s="11"/>
    </row>
    <row r="26">
      <c r="A26" s="10"/>
      <c r="O26" s="11"/>
    </row>
    <row r="27">
      <c r="A27" s="10"/>
      <c r="O27" s="11"/>
    </row>
    <row r="28">
      <c r="A28" s="10"/>
      <c r="O28" s="11"/>
    </row>
    <row r="29">
      <c r="A29" s="10"/>
      <c r="O29" s="11"/>
    </row>
    <row r="30">
      <c r="A30" s="10"/>
      <c r="O30" s="11"/>
    </row>
    <row r="31">
      <c r="A31" s="10"/>
      <c r="O31" s="11"/>
    </row>
    <row r="32">
      <c r="A32" s="10"/>
      <c r="O32" s="11"/>
    </row>
    <row r="33">
      <c r="A33" s="10"/>
      <c r="O33" s="11"/>
    </row>
    <row r="34">
      <c r="A34" s="10"/>
      <c r="O34" s="11"/>
    </row>
    <row r="35">
      <c r="A35" s="10"/>
      <c r="O35" s="11"/>
    </row>
    <row r="36">
      <c r="A36" s="10"/>
      <c r="O36" s="11"/>
    </row>
    <row r="37">
      <c r="A37" s="10"/>
      <c r="O37" s="11"/>
    </row>
    <row r="38">
      <c r="A38" s="10"/>
      <c r="O38" s="11"/>
    </row>
    <row r="39">
      <c r="A39" s="10"/>
      <c r="O39" s="11"/>
    </row>
    <row r="40">
      <c r="A40" s="10"/>
      <c r="O40" s="11"/>
    </row>
    <row r="41">
      <c r="A41" s="10"/>
      <c r="O41" s="11"/>
    </row>
    <row r="42">
      <c r="A42" s="10"/>
      <c r="O42" s="11"/>
    </row>
    <row r="43">
      <c r="A43" s="10"/>
      <c r="O43" s="11"/>
    </row>
    <row r="44">
      <c r="A44" s="10"/>
      <c r="O44" s="11"/>
    </row>
    <row r="45">
      <c r="A45" s="10"/>
      <c r="O45" s="11"/>
    </row>
    <row r="46">
      <c r="A46" s="10"/>
      <c r="O46" s="11"/>
    </row>
    <row r="47">
      <c r="A47" s="10"/>
      <c r="O47" s="11"/>
    </row>
    <row r="48">
      <c r="A48" s="10"/>
      <c r="O48" s="11"/>
    </row>
    <row r="49">
      <c r="A49" s="10"/>
      <c r="O49" s="11"/>
    </row>
    <row r="50">
      <c r="A50" s="10"/>
      <c r="O50" s="11"/>
    </row>
    <row r="51">
      <c r="A51" s="10"/>
      <c r="O51" s="11"/>
    </row>
    <row r="52">
      <c r="A52" s="10"/>
      <c r="O52" s="11"/>
    </row>
    <row r="53">
      <c r="A53" s="10"/>
      <c r="O53" s="11"/>
    </row>
    <row r="54">
      <c r="A54" s="10"/>
      <c r="O54" s="11"/>
    </row>
    <row r="55">
      <c r="A55" s="10"/>
      <c r="O55" s="11"/>
    </row>
    <row r="56">
      <c r="A56" s="10"/>
      <c r="O56" s="11"/>
    </row>
    <row r="57">
      <c r="A57" s="10"/>
      <c r="O57" s="11"/>
    </row>
    <row r="58">
      <c r="A58" s="10"/>
      <c r="O58" s="11"/>
    </row>
    <row r="59">
      <c r="A59" s="10"/>
      <c r="O59" s="11"/>
    </row>
    <row r="60">
      <c r="A60" s="10"/>
      <c r="O60" s="11"/>
    </row>
    <row r="61">
      <c r="A61" s="10"/>
      <c r="O61" s="11"/>
    </row>
    <row r="62">
      <c r="A62" s="10"/>
      <c r="O62" s="11"/>
    </row>
    <row r="63">
      <c r="A63" s="10"/>
      <c r="O63" s="11"/>
    </row>
    <row r="64">
      <c r="A64" s="10"/>
      <c r="O64" s="11"/>
    </row>
    <row r="65">
      <c r="A65" s="10"/>
      <c r="B65" s="109"/>
      <c r="C65" s="109"/>
      <c r="O65" s="11"/>
    </row>
    <row r="66">
      <c r="A66" s="10"/>
      <c r="B66" s="110" t="s">
        <v>352</v>
      </c>
      <c r="O66" s="11"/>
    </row>
    <row r="67">
      <c r="A67" s="10"/>
      <c r="B67" s="111" t="s">
        <v>353</v>
      </c>
      <c r="C67" s="111" t="s">
        <v>335</v>
      </c>
      <c r="O67" s="11"/>
    </row>
    <row r="68">
      <c r="A68" s="10"/>
      <c r="B68" s="112" t="s">
        <v>354</v>
      </c>
      <c r="C68" s="113" t="str">
        <f t="array" ref="C68">IFERROR(INDEX(SalesData[Customer Name],MATCH($C$67,SalesData[Order ID],0)),"NOT FOUND")</f>
        <v>Wendy Ramirez</v>
      </c>
      <c r="O68" s="11"/>
    </row>
    <row r="69">
      <c r="A69" s="10"/>
      <c r="B69" s="111" t="s">
        <v>355</v>
      </c>
      <c r="C69" s="114" t="str">
        <f t="array" ref="C69">IFERROR(INDEX(SalesData[Region],MATCH($C$67,SalesData[Order ID],0)),"NOT FOUND")</f>
        <v>North</v>
      </c>
      <c r="O69" s="11"/>
    </row>
    <row r="70">
      <c r="A70" s="10"/>
      <c r="B70" s="112" t="s">
        <v>356</v>
      </c>
      <c r="C70" s="113" t="str">
        <f t="array" ref="C70">IFERROR(INDEX(SalesData[Category],MATCH($C$67,SalesData[Order ID],0)),"NOT FOUND")</f>
        <v>Electronics</v>
      </c>
      <c r="O70" s="11"/>
    </row>
    <row r="71">
      <c r="A71" s="10"/>
      <c r="B71" s="111" t="s">
        <v>357</v>
      </c>
      <c r="C71" s="114">
        <f t="array" ref="C71">IFERROR(INDEX(SalesData[ORIGINAL PRICE],MATCH(C67,SalesData[Order ID],0)),"NOT FOUND")</f>
        <v>6000</v>
      </c>
      <c r="O71" s="11"/>
    </row>
    <row r="72">
      <c r="A72" s="10"/>
      <c r="B72" s="112" t="s">
        <v>358</v>
      </c>
      <c r="C72" s="113">
        <f t="array" ref="C72">IFERROR(INDEX(SalesData[PROFIT],MATCH($C$67,SalesData[Order ID],0)),"NOT FOUND")</f>
        <v>1350</v>
      </c>
      <c r="O72" s="11"/>
    </row>
    <row r="73">
      <c r="A73" s="10"/>
      <c r="B73" s="111" t="s">
        <v>359</v>
      </c>
      <c r="C73" s="114" t="str">
        <f t="array" ref="C73">IFERROR(INDEX(SalesData[Status],MATCH($C$67,SalesData[Order ID],0)),"NOT FOUND")</f>
        <v>Shipped</v>
      </c>
      <c r="O73" s="11"/>
    </row>
    <row r="74">
      <c r="A74" s="10"/>
      <c r="O74" s="11"/>
    </row>
    <row r="75">
      <c r="A75" s="10"/>
      <c r="O75" s="11"/>
    </row>
    <row r="76">
      <c r="A76" s="18"/>
      <c r="B76" s="19"/>
      <c r="C76" s="19"/>
      <c r="D76" s="19"/>
      <c r="E76" s="19"/>
      <c r="F76" s="19"/>
      <c r="G76" s="19"/>
      <c r="H76" s="19"/>
      <c r="I76" s="19"/>
      <c r="J76" s="19"/>
      <c r="K76" s="19"/>
      <c r="L76" s="19"/>
      <c r="M76" s="19"/>
      <c r="N76" s="19"/>
      <c r="O76" s="20"/>
    </row>
  </sheetData>
  <mergeCells count="2">
    <mergeCell ref="A2:O2"/>
    <mergeCell ref="B66:C66"/>
  </mergeCells>
  <printOptions gridLines="1" horizontalCentered="1"/>
  <pageMargins bottom="0.75" footer="0.0" header="0.0" left="0.7" right="0.7" top="0.75"/>
  <pageSetup paperSize="3" cellComments="atEnd" orientation="landscape" pageOrder="overThenDown"/>
  <drawing r:id="rId1"/>
  <tableParts count="1">
    <tablePart r:id="rId3"/>
  </tableParts>
  <extLst>
    <ext uri="{3A4CF648-6AED-40f4-86FF-DC5316D8AED3}">
      <x14:slicerList>
        <x14:slicer r:id="rId4"/>
      </x14:slicerList>
    </ext>
  </extLst>
</worksheet>
</file>